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aeleong/Library/Mobile Documents/com~apple~CloudDocs/01-科研相关/00-胶北25/15-Draft/Identification of modern-style plate subduction during the Archean a perspective from metavolcanic rocks-2025.09/"/>
    </mc:Choice>
  </mc:AlternateContent>
  <xr:revisionPtr revIDLastSave="0" documentId="13_ncr:1_{023DB6DE-02EE-D943-B701-ED53ABCAA91D}" xr6:coauthVersionLast="47" xr6:coauthVersionMax="47" xr10:uidLastSave="{00000000-0000-0000-0000-000000000000}"/>
  <bookViews>
    <workbookView xWindow="1080" yWindow="500" windowWidth="27720" windowHeight="17500" activeTab="5" xr2:uid="{00000000-000D-0000-FFFF-FFFF00000000}"/>
  </bookViews>
  <sheets>
    <sheet name="Table S1" sheetId="5" r:id="rId1"/>
    <sheet name="Table S2" sheetId="2" r:id="rId2"/>
    <sheet name="Table S3" sheetId="7" r:id="rId3"/>
    <sheet name="Table S4" sheetId="3" r:id="rId4"/>
    <sheet name="Table S5" sheetId="9" r:id="rId5"/>
    <sheet name="Table S6" sheetId="14" r:id="rId6"/>
  </sheets>
  <definedNames>
    <definedName name="_xlnm._FilterDatabase" localSheetId="5" hidden="1">'Table S6'!$A$2:$BT$168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68" i="14" l="1"/>
  <c r="BK168" i="14"/>
  <c r="BI168" i="14"/>
  <c r="S168" i="14"/>
  <c r="R168" i="14"/>
  <c r="Q168" i="14"/>
  <c r="BK167" i="14"/>
  <c r="BI167" i="14"/>
  <c r="S167" i="14"/>
  <c r="R167" i="14"/>
  <c r="Q167" i="14"/>
  <c r="BP166" i="14"/>
  <c r="BK166" i="14"/>
  <c r="BI166" i="14"/>
  <c r="S166" i="14"/>
  <c r="R166" i="14"/>
  <c r="Q166" i="14"/>
  <c r="BK165" i="14"/>
  <c r="BI165" i="14"/>
  <c r="S165" i="14"/>
  <c r="R165" i="14"/>
  <c r="Q165" i="14"/>
  <c r="BP164" i="14"/>
  <c r="BK164" i="14"/>
  <c r="BI164" i="14"/>
  <c r="S164" i="14"/>
  <c r="R164" i="14"/>
  <c r="Q164" i="14"/>
  <c r="BP163" i="14"/>
  <c r="BK163" i="14"/>
  <c r="BI163" i="14"/>
  <c r="S163" i="14"/>
  <c r="R163" i="14"/>
  <c r="Q163" i="14"/>
  <c r="BP162" i="14"/>
  <c r="BK162" i="14"/>
  <c r="BI162" i="14"/>
  <c r="S162" i="14"/>
  <c r="R162" i="14"/>
  <c r="Q162" i="14"/>
  <c r="BP161" i="14"/>
  <c r="BK161" i="14"/>
  <c r="BI161" i="14"/>
  <c r="S161" i="14"/>
  <c r="R161" i="14"/>
  <c r="Q161" i="14"/>
  <c r="BK160" i="14"/>
  <c r="BI160" i="14"/>
  <c r="S160" i="14"/>
  <c r="R160" i="14"/>
  <c r="Q160" i="14"/>
  <c r="BP159" i="14"/>
  <c r="BK159" i="14"/>
  <c r="BI159" i="14"/>
  <c r="S159" i="14"/>
  <c r="R159" i="14"/>
  <c r="Q159" i="14"/>
  <c r="BK158" i="14"/>
  <c r="BI158" i="14"/>
  <c r="S158" i="14"/>
  <c r="R158" i="14"/>
  <c r="Q158" i="14"/>
  <c r="BP157" i="14"/>
  <c r="BK157" i="14"/>
  <c r="BI157" i="14"/>
  <c r="S157" i="14"/>
  <c r="R157" i="14"/>
  <c r="Q157" i="14"/>
  <c r="BP156" i="14"/>
  <c r="BK156" i="14"/>
  <c r="BI156" i="14"/>
  <c r="S156" i="14"/>
  <c r="R156" i="14"/>
  <c r="Q156" i="14"/>
  <c r="BP155" i="14"/>
  <c r="BK155" i="14"/>
  <c r="BI155" i="14"/>
  <c r="S155" i="14"/>
  <c r="R155" i="14"/>
  <c r="Q155" i="14"/>
  <c r="BP154" i="14"/>
  <c r="BK154" i="14"/>
  <c r="BI154" i="14"/>
  <c r="S154" i="14"/>
  <c r="R154" i="14"/>
  <c r="Q154" i="14"/>
  <c r="BP153" i="14"/>
  <c r="BK153" i="14"/>
  <c r="BI153" i="14"/>
  <c r="S153" i="14"/>
  <c r="R153" i="14"/>
  <c r="Q153" i="14"/>
  <c r="BP152" i="14"/>
  <c r="BK152" i="14"/>
  <c r="BI152" i="14"/>
  <c r="S152" i="14"/>
  <c r="R152" i="14"/>
  <c r="Q152" i="14"/>
  <c r="BP151" i="14"/>
  <c r="BK151" i="14"/>
  <c r="BI151" i="14"/>
  <c r="S151" i="14"/>
  <c r="R151" i="14"/>
  <c r="Q151" i="14"/>
  <c r="BP150" i="14"/>
  <c r="BK150" i="14"/>
  <c r="BI150" i="14"/>
  <c r="S150" i="14"/>
  <c r="R150" i="14"/>
  <c r="Q150" i="14"/>
  <c r="BP149" i="14"/>
  <c r="BK149" i="14"/>
  <c r="BI149" i="14"/>
  <c r="S149" i="14"/>
  <c r="R149" i="14"/>
  <c r="Q149" i="14"/>
  <c r="BP148" i="14"/>
  <c r="BK148" i="14"/>
  <c r="BI148" i="14"/>
  <c r="S148" i="14"/>
  <c r="R148" i="14"/>
  <c r="Q148" i="14"/>
  <c r="BP147" i="14"/>
  <c r="BK147" i="14"/>
  <c r="BI147" i="14"/>
  <c r="S147" i="14"/>
  <c r="R147" i="14"/>
  <c r="Q147" i="14"/>
  <c r="BP146" i="14"/>
  <c r="BK146" i="14"/>
  <c r="BI146" i="14"/>
  <c r="S146" i="14"/>
  <c r="R146" i="14"/>
  <c r="Q146" i="14"/>
  <c r="BP145" i="14"/>
  <c r="BK145" i="14"/>
  <c r="BI145" i="14"/>
  <c r="S145" i="14"/>
  <c r="R145" i="14"/>
  <c r="Q145" i="14"/>
  <c r="BP144" i="14"/>
  <c r="BK144" i="14"/>
  <c r="BI144" i="14"/>
  <c r="S144" i="14"/>
  <c r="R144" i="14"/>
  <c r="Q144" i="14"/>
  <c r="BP143" i="14"/>
  <c r="BK143" i="14"/>
  <c r="BI143" i="14"/>
  <c r="S143" i="14"/>
  <c r="R143" i="14"/>
  <c r="Q143" i="14"/>
  <c r="BP142" i="14"/>
  <c r="BK142" i="14"/>
  <c r="BI142" i="14"/>
  <c r="S142" i="14"/>
  <c r="R142" i="14"/>
  <c r="Q142" i="14"/>
  <c r="BP141" i="14"/>
  <c r="BK141" i="14"/>
  <c r="BI141" i="14"/>
  <c r="S141" i="14"/>
  <c r="R141" i="14"/>
  <c r="Q141" i="14"/>
  <c r="BP140" i="14"/>
  <c r="BK140" i="14"/>
  <c r="BI140" i="14"/>
  <c r="S140" i="14"/>
  <c r="R140" i="14"/>
  <c r="Q140" i="14"/>
  <c r="BP139" i="14"/>
  <c r="BK139" i="14"/>
  <c r="BI139" i="14"/>
  <c r="S139" i="14"/>
  <c r="R139" i="14"/>
  <c r="Q139" i="14"/>
  <c r="BP138" i="14"/>
  <c r="BK138" i="14"/>
  <c r="BI138" i="14"/>
  <c r="S138" i="14"/>
  <c r="R138" i="14"/>
  <c r="Q138" i="14"/>
  <c r="BP137" i="14"/>
  <c r="BK137" i="14"/>
  <c r="BI137" i="14"/>
  <c r="S137" i="14"/>
  <c r="R137" i="14"/>
  <c r="Q137" i="14"/>
  <c r="BP136" i="14"/>
  <c r="BK136" i="14"/>
  <c r="BI136" i="14"/>
  <c r="S136" i="14"/>
  <c r="R136" i="14"/>
  <c r="Q136" i="14"/>
  <c r="BP135" i="14"/>
  <c r="BK135" i="14"/>
  <c r="BI135" i="14"/>
  <c r="S135" i="14"/>
  <c r="R135" i="14"/>
  <c r="Q135" i="14"/>
  <c r="BP134" i="14"/>
  <c r="BK134" i="14"/>
  <c r="BI134" i="14"/>
  <c r="S134" i="14"/>
  <c r="R134" i="14"/>
  <c r="Q134" i="14"/>
  <c r="BP133" i="14"/>
  <c r="BK133" i="14"/>
  <c r="BI133" i="14"/>
  <c r="S133" i="14"/>
  <c r="R133" i="14"/>
  <c r="Q133" i="14"/>
  <c r="BK132" i="14"/>
  <c r="BI132" i="14"/>
  <c r="S132" i="14"/>
  <c r="R132" i="14"/>
  <c r="Q132" i="14"/>
  <c r="BP131" i="14"/>
  <c r="BK131" i="14"/>
  <c r="BI131" i="14"/>
  <c r="S131" i="14"/>
  <c r="R131" i="14"/>
  <c r="Q131" i="14"/>
  <c r="BK130" i="14"/>
  <c r="BI130" i="14"/>
  <c r="S130" i="14"/>
  <c r="R130" i="14"/>
  <c r="Q130" i="14"/>
  <c r="BP129" i="14"/>
  <c r="BK129" i="14"/>
  <c r="BI129" i="14"/>
  <c r="S129" i="14"/>
  <c r="R129" i="14"/>
  <c r="Q129" i="14"/>
  <c r="BP128" i="14"/>
  <c r="BK128" i="14"/>
  <c r="BI128" i="14"/>
  <c r="S128" i="14"/>
  <c r="R128" i="14"/>
  <c r="Q128" i="14"/>
  <c r="BP127" i="14"/>
  <c r="BK127" i="14"/>
  <c r="BI127" i="14"/>
  <c r="S127" i="14"/>
  <c r="R127" i="14"/>
  <c r="Q127" i="14"/>
  <c r="BP126" i="14"/>
  <c r="BK126" i="14"/>
  <c r="BI126" i="14"/>
  <c r="S126" i="14"/>
  <c r="R126" i="14"/>
  <c r="Q126" i="14"/>
  <c r="BP125" i="14"/>
  <c r="BK125" i="14"/>
  <c r="BI125" i="14"/>
  <c r="S125" i="14"/>
  <c r="R125" i="14"/>
  <c r="Q125" i="14"/>
  <c r="BK124" i="14"/>
  <c r="BI124" i="14"/>
  <c r="S124" i="14"/>
  <c r="R124" i="14"/>
  <c r="Q124" i="14"/>
  <c r="BP123" i="14"/>
  <c r="BK123" i="14"/>
  <c r="BI123" i="14"/>
  <c r="S123" i="14"/>
  <c r="R123" i="14"/>
  <c r="Q123" i="14"/>
  <c r="BP122" i="14"/>
  <c r="BK122" i="14"/>
  <c r="BI122" i="14"/>
  <c r="S122" i="14"/>
  <c r="R122" i="14"/>
  <c r="Q122" i="14"/>
  <c r="BK121" i="14"/>
  <c r="BI121" i="14"/>
  <c r="S121" i="14"/>
  <c r="R121" i="14"/>
  <c r="Q121" i="14"/>
  <c r="BP120" i="14"/>
  <c r="BK120" i="14"/>
  <c r="BI120" i="14"/>
  <c r="S120" i="14"/>
  <c r="R120" i="14"/>
  <c r="Q120" i="14"/>
  <c r="BP119" i="14"/>
  <c r="BK119" i="14"/>
  <c r="BI119" i="14"/>
  <c r="S119" i="14"/>
  <c r="R119" i="14"/>
  <c r="Q119" i="14"/>
  <c r="BP118" i="14"/>
  <c r="BK118" i="14"/>
  <c r="BI118" i="14"/>
  <c r="S118" i="14"/>
  <c r="R118" i="14"/>
  <c r="Q118" i="14"/>
  <c r="BP117" i="14"/>
  <c r="BK117" i="14"/>
  <c r="BI117" i="14"/>
  <c r="S117" i="14"/>
  <c r="R117" i="14"/>
  <c r="Q117" i="14"/>
  <c r="BP116" i="14"/>
  <c r="BK116" i="14"/>
  <c r="BI116" i="14"/>
  <c r="S116" i="14"/>
  <c r="R116" i="14"/>
  <c r="Q116" i="14"/>
  <c r="BP115" i="14"/>
  <c r="BK115" i="14"/>
  <c r="BI115" i="14"/>
  <c r="S115" i="14"/>
  <c r="R115" i="14"/>
  <c r="Q115" i="14"/>
  <c r="BP114" i="14"/>
  <c r="BK114" i="14"/>
  <c r="BI114" i="14"/>
  <c r="S114" i="14"/>
  <c r="R114" i="14"/>
  <c r="Q114" i="14"/>
  <c r="BP113" i="14"/>
  <c r="BK113" i="14"/>
  <c r="BI113" i="14"/>
  <c r="S113" i="14"/>
  <c r="R113" i="14"/>
  <c r="Q113" i="14"/>
  <c r="BP112" i="14"/>
  <c r="BK112" i="14"/>
  <c r="BI112" i="14"/>
  <c r="S112" i="14"/>
  <c r="R112" i="14"/>
  <c r="Q112" i="14"/>
  <c r="BP111" i="14"/>
  <c r="BK111" i="14"/>
  <c r="BI111" i="14"/>
  <c r="S111" i="14"/>
  <c r="R111" i="14"/>
  <c r="Q111" i="14"/>
  <c r="BP110" i="14"/>
  <c r="BK110" i="14"/>
  <c r="BI110" i="14"/>
  <c r="S110" i="14"/>
  <c r="R110" i="14"/>
  <c r="Q110" i="14"/>
  <c r="BP109" i="14"/>
  <c r="BK109" i="14"/>
  <c r="BI109" i="14"/>
  <c r="S109" i="14"/>
  <c r="R109" i="14"/>
  <c r="Q109" i="14"/>
  <c r="BP108" i="14"/>
  <c r="BK108" i="14"/>
  <c r="BI108" i="14"/>
  <c r="S108" i="14"/>
  <c r="R108" i="14"/>
  <c r="Q108" i="14"/>
  <c r="BP107" i="14"/>
  <c r="BK107" i="14"/>
  <c r="BI107" i="14"/>
  <c r="S107" i="14"/>
  <c r="R107" i="14"/>
  <c r="Q107" i="14"/>
  <c r="BP106" i="14"/>
  <c r="BK106" i="14"/>
  <c r="BI106" i="14"/>
  <c r="S106" i="14"/>
  <c r="R106" i="14"/>
  <c r="Q106" i="14"/>
  <c r="BP105" i="14"/>
  <c r="BI105" i="14"/>
  <c r="S105" i="14"/>
  <c r="R105" i="14"/>
  <c r="Q105" i="14"/>
  <c r="BR104" i="14"/>
  <c r="BK104" i="14"/>
  <c r="BI104" i="14"/>
  <c r="S104" i="14"/>
  <c r="R104" i="14"/>
  <c r="Q104" i="14"/>
  <c r="BP103" i="14"/>
  <c r="BI103" i="14"/>
  <c r="S103" i="14"/>
  <c r="R103" i="14"/>
  <c r="Q103" i="14"/>
  <c r="BI102" i="14"/>
  <c r="S102" i="14"/>
  <c r="R102" i="14"/>
  <c r="Q102" i="14"/>
  <c r="BK101" i="14"/>
  <c r="BI101" i="14"/>
  <c r="S101" i="14"/>
  <c r="R101" i="14"/>
  <c r="Q101" i="14"/>
  <c r="BI100" i="14"/>
  <c r="S100" i="14"/>
  <c r="R100" i="14"/>
  <c r="Q100" i="14"/>
  <c r="BI99" i="14"/>
  <c r="S99" i="14"/>
  <c r="R99" i="14"/>
  <c r="Q99" i="14"/>
  <c r="BI98" i="14"/>
  <c r="S98" i="14"/>
  <c r="R98" i="14"/>
  <c r="Q98" i="14"/>
  <c r="BI97" i="14"/>
  <c r="S97" i="14"/>
  <c r="R97" i="14"/>
  <c r="Q97" i="14"/>
  <c r="BR96" i="14"/>
  <c r="BP96" i="14"/>
  <c r="BK96" i="14"/>
  <c r="BI96" i="14"/>
  <c r="S96" i="14"/>
  <c r="R96" i="14"/>
  <c r="Q96" i="14"/>
  <c r="BR95" i="14"/>
  <c r="BP95" i="14"/>
  <c r="BK95" i="14"/>
  <c r="BI95" i="14"/>
  <c r="S95" i="14"/>
  <c r="R95" i="14"/>
  <c r="Q95" i="14"/>
  <c r="BK94" i="14"/>
  <c r="BI94" i="14"/>
  <c r="S94" i="14"/>
  <c r="R94" i="14"/>
  <c r="Q94" i="14"/>
  <c r="BK93" i="14"/>
  <c r="BI93" i="14"/>
  <c r="S93" i="14"/>
  <c r="R93" i="14"/>
  <c r="Q93" i="14"/>
  <c r="BI92" i="14"/>
  <c r="S92" i="14"/>
  <c r="R92" i="14"/>
  <c r="Q92" i="14"/>
  <c r="BK91" i="14"/>
  <c r="BI91" i="14"/>
  <c r="S91" i="14"/>
  <c r="R91" i="14"/>
  <c r="Q91" i="14"/>
  <c r="BK90" i="14"/>
  <c r="BI90" i="14"/>
  <c r="S90" i="14"/>
  <c r="R90" i="14"/>
  <c r="Q90" i="14"/>
  <c r="BK89" i="14"/>
  <c r="BI89" i="14"/>
  <c r="S89" i="14"/>
  <c r="R89" i="14"/>
  <c r="Q89" i="14"/>
  <c r="BK88" i="14"/>
  <c r="BI88" i="14"/>
  <c r="S88" i="14"/>
  <c r="R88" i="14"/>
  <c r="Q88" i="14"/>
  <c r="BI87" i="14"/>
  <c r="S87" i="14"/>
  <c r="R87" i="14"/>
  <c r="Q87" i="14"/>
  <c r="BI86" i="14"/>
  <c r="S86" i="14"/>
  <c r="R86" i="14"/>
  <c r="Q86" i="14"/>
  <c r="BP85" i="14"/>
  <c r="BK85" i="14"/>
  <c r="BI85" i="14"/>
  <c r="S85" i="14"/>
  <c r="R85" i="14"/>
  <c r="Q85" i="14"/>
  <c r="BK84" i="14"/>
  <c r="BI84" i="14"/>
  <c r="S84" i="14"/>
  <c r="R84" i="14"/>
  <c r="Q84" i="14"/>
  <c r="BK83" i="14"/>
  <c r="BI83" i="14"/>
  <c r="S83" i="14"/>
  <c r="R83" i="14"/>
  <c r="Q83" i="14"/>
  <c r="BK82" i="14"/>
  <c r="BI82" i="14"/>
  <c r="S82" i="14"/>
  <c r="R82" i="14"/>
  <c r="Q82" i="14"/>
  <c r="BI81" i="14"/>
  <c r="S81" i="14"/>
  <c r="R81" i="14"/>
  <c r="Q81" i="14"/>
  <c r="BI80" i="14"/>
  <c r="S80" i="14"/>
  <c r="R80" i="14"/>
  <c r="Q80" i="14"/>
  <c r="BI79" i="14"/>
  <c r="S79" i="14"/>
  <c r="R79" i="14"/>
  <c r="Q79" i="14"/>
  <c r="BI78" i="14"/>
  <c r="S78" i="14"/>
  <c r="R78" i="14"/>
  <c r="Q78" i="14"/>
  <c r="BK77" i="14"/>
  <c r="BI77" i="14"/>
  <c r="S77" i="14"/>
  <c r="R77" i="14"/>
  <c r="Q77" i="14"/>
  <c r="BK76" i="14"/>
  <c r="BI76" i="14"/>
  <c r="S76" i="14"/>
  <c r="R76" i="14"/>
  <c r="Q76" i="14"/>
  <c r="BK75" i="14"/>
  <c r="BI75" i="14"/>
  <c r="S75" i="14"/>
  <c r="R75" i="14"/>
  <c r="Q75" i="14"/>
  <c r="S74" i="14"/>
  <c r="R74" i="14"/>
  <c r="Q74" i="14"/>
  <c r="BP73" i="14"/>
  <c r="BP71" i="14"/>
  <c r="BK69" i="14"/>
  <c r="BI69" i="14"/>
  <c r="S69" i="14"/>
  <c r="R69" i="14"/>
  <c r="Q69" i="14"/>
  <c r="BK68" i="14"/>
  <c r="BI68" i="14"/>
  <c r="S68" i="14"/>
  <c r="R68" i="14"/>
  <c r="Q68" i="14"/>
  <c r="BK67" i="14"/>
  <c r="BI67" i="14"/>
  <c r="S67" i="14"/>
  <c r="R67" i="14"/>
  <c r="Q67" i="14"/>
  <c r="BP66" i="14"/>
  <c r="BK66" i="14"/>
  <c r="BI66" i="14"/>
  <c r="S66" i="14"/>
  <c r="R66" i="14"/>
  <c r="Q66" i="14"/>
  <c r="BP65" i="14"/>
  <c r="BK65" i="14"/>
  <c r="BI65" i="14"/>
  <c r="S65" i="14"/>
  <c r="R65" i="14"/>
  <c r="Q65" i="14"/>
  <c r="BP64" i="14"/>
  <c r="BK64" i="14"/>
  <c r="BI64" i="14"/>
  <c r="S64" i="14"/>
  <c r="R64" i="14"/>
  <c r="Q64" i="14"/>
  <c r="BK63" i="14"/>
  <c r="BI63" i="14"/>
  <c r="S63" i="14"/>
  <c r="R63" i="14"/>
  <c r="Q63" i="14"/>
  <c r="BK62" i="14"/>
  <c r="BI62" i="14"/>
  <c r="S62" i="14"/>
  <c r="R62" i="14"/>
  <c r="Q62" i="14"/>
  <c r="BK61" i="14"/>
  <c r="BI61" i="14"/>
  <c r="S61" i="14"/>
  <c r="R61" i="14"/>
  <c r="Q61" i="14"/>
  <c r="BK60" i="14"/>
  <c r="BI60" i="14"/>
  <c r="S60" i="14"/>
  <c r="R60" i="14"/>
  <c r="Q60" i="14"/>
  <c r="BK59" i="14"/>
  <c r="BI59" i="14"/>
  <c r="S59" i="14"/>
  <c r="R59" i="14"/>
  <c r="Q59" i="14"/>
  <c r="BK58" i="14"/>
  <c r="BI58" i="14"/>
  <c r="S58" i="14"/>
  <c r="R58" i="14"/>
  <c r="Q58" i="14"/>
  <c r="BP57" i="14"/>
  <c r="BK57" i="14"/>
  <c r="BI57" i="14"/>
  <c r="S57" i="14"/>
  <c r="R57" i="14"/>
  <c r="Q57" i="14"/>
  <c r="BK56" i="14"/>
  <c r="BI56" i="14"/>
  <c r="S56" i="14"/>
  <c r="R56" i="14"/>
  <c r="Q56" i="14"/>
  <c r="BK55" i="14"/>
  <c r="BI55" i="14"/>
  <c r="S55" i="14"/>
  <c r="R55" i="14"/>
  <c r="Q55" i="14"/>
  <c r="BK54" i="14"/>
  <c r="BI54" i="14"/>
  <c r="S54" i="14"/>
  <c r="R54" i="14"/>
  <c r="Q54" i="14"/>
  <c r="BK53" i="14"/>
  <c r="BI53" i="14"/>
  <c r="S53" i="14"/>
  <c r="R53" i="14"/>
  <c r="Q53" i="14"/>
  <c r="BP52" i="14"/>
  <c r="BK52" i="14"/>
  <c r="BI52" i="14"/>
  <c r="S52" i="14"/>
  <c r="R52" i="14"/>
  <c r="Q52" i="14"/>
  <c r="BK51" i="14"/>
  <c r="BI51" i="14"/>
  <c r="S51" i="14"/>
  <c r="R51" i="14"/>
  <c r="Q51" i="14"/>
  <c r="BP50" i="14"/>
  <c r="BK50" i="14"/>
  <c r="BI50" i="14"/>
  <c r="S50" i="14"/>
  <c r="R50" i="14"/>
  <c r="Q50" i="14"/>
  <c r="BR49" i="14"/>
  <c r="BP49" i="14"/>
  <c r="BK49" i="14"/>
  <c r="BI49" i="14"/>
  <c r="S49" i="14"/>
  <c r="R49" i="14"/>
  <c r="Q49" i="14"/>
  <c r="BK48" i="14"/>
  <c r="BI48" i="14"/>
  <c r="S48" i="14"/>
  <c r="R48" i="14"/>
  <c r="Q48" i="14"/>
  <c r="BP47" i="14"/>
  <c r="BK47" i="14"/>
  <c r="BI47" i="14"/>
  <c r="S47" i="14"/>
  <c r="R47" i="14"/>
  <c r="Q47" i="14"/>
  <c r="BJ46" i="14"/>
  <c r="BI46" i="14"/>
  <c r="BG46" i="14"/>
  <c r="BF46" i="14"/>
  <c r="S46" i="14"/>
  <c r="BJ45" i="14"/>
  <c r="BI45" i="14"/>
  <c r="BG45" i="14"/>
  <c r="BF45" i="14"/>
  <c r="S45" i="14"/>
  <c r="S44" i="14"/>
  <c r="S43" i="14"/>
  <c r="S42" i="14"/>
  <c r="BR41" i="14"/>
  <c r="S41" i="14"/>
  <c r="BP40" i="14"/>
  <c r="BK40" i="14"/>
  <c r="BI40" i="14"/>
  <c r="S40" i="14"/>
  <c r="R40" i="14"/>
  <c r="Q40" i="14"/>
  <c r="BP39" i="14"/>
  <c r="BK39" i="14"/>
  <c r="BI39" i="14"/>
  <c r="S39" i="14"/>
  <c r="R39" i="14"/>
  <c r="Q39" i="14"/>
  <c r="BP38" i="14"/>
  <c r="BK38" i="14"/>
  <c r="BI38" i="14"/>
  <c r="S38" i="14"/>
  <c r="R38" i="14"/>
  <c r="Q38" i="14"/>
  <c r="BK37" i="14"/>
  <c r="BI37" i="14"/>
  <c r="R37" i="14"/>
  <c r="BK36" i="14"/>
  <c r="BI36" i="14"/>
  <c r="R36" i="14"/>
  <c r="BK35" i="14"/>
  <c r="BI35" i="14"/>
  <c r="R35" i="14"/>
  <c r="BK34" i="14"/>
  <c r="BI34" i="14"/>
  <c r="R34" i="14"/>
  <c r="BK33" i="14"/>
  <c r="BI33" i="14"/>
  <c r="R33" i="14"/>
  <c r="BK32" i="14"/>
  <c r="BI32" i="14"/>
  <c r="R32" i="14"/>
  <c r="BK31" i="14"/>
  <c r="BI31" i="14"/>
  <c r="R31" i="14"/>
  <c r="BP30" i="14"/>
  <c r="BK30" i="14"/>
  <c r="BI30" i="14"/>
  <c r="R30" i="14"/>
  <c r="BK29" i="14"/>
  <c r="BI29" i="14"/>
  <c r="R29" i="14"/>
  <c r="BK28" i="14"/>
  <c r="BI28" i="14"/>
  <c r="R28" i="14"/>
  <c r="BK27" i="14"/>
  <c r="BI27" i="14"/>
  <c r="R27" i="14"/>
  <c r="BK26" i="14"/>
  <c r="BI26" i="14"/>
  <c r="R26" i="14"/>
  <c r="BK25" i="14"/>
  <c r="BI25" i="14"/>
  <c r="R25" i="14"/>
  <c r="BK24" i="14"/>
  <c r="BI24" i="14"/>
  <c r="R24" i="14"/>
  <c r="BK23" i="14"/>
  <c r="BI23" i="14"/>
  <c r="R23" i="14"/>
  <c r="BK22" i="14"/>
  <c r="BI22" i="14"/>
  <c r="R22" i="14"/>
  <c r="BK21" i="14"/>
  <c r="BI21" i="14"/>
  <c r="R21" i="14"/>
  <c r="BK20" i="14"/>
  <c r="BI20" i="14"/>
  <c r="R20" i="14"/>
  <c r="BK19" i="14"/>
  <c r="BI19" i="14"/>
  <c r="R19" i="14"/>
  <c r="BK18" i="14"/>
  <c r="BI18" i="14"/>
  <c r="R18" i="14"/>
  <c r="BK17" i="14"/>
  <c r="BI17" i="14"/>
  <c r="R17" i="14"/>
  <c r="BK16" i="14"/>
  <c r="BI16" i="14"/>
  <c r="R16" i="14"/>
  <c r="BK15" i="14"/>
  <c r="BI15" i="14"/>
  <c r="R15" i="14"/>
  <c r="BK14" i="14"/>
  <c r="BI14" i="14"/>
  <c r="R14" i="14"/>
  <c r="BI13" i="14"/>
  <c r="R13" i="14"/>
  <c r="BP5" i="14"/>
  <c r="BK5" i="14"/>
  <c r="BI5" i="14"/>
  <c r="S5" i="14"/>
  <c r="R5" i="14"/>
  <c r="Q5" i="14"/>
  <c r="BP4" i="14"/>
  <c r="BK4" i="14"/>
  <c r="BI4" i="14"/>
  <c r="S4" i="14"/>
  <c r="R4" i="14"/>
  <c r="Q4" i="14"/>
  <c r="BP3" i="14"/>
  <c r="BK3" i="14"/>
  <c r="BI3" i="14"/>
  <c r="S3" i="14"/>
  <c r="R3" i="14"/>
  <c r="Q3" i="14"/>
  <c r="D63" i="5"/>
  <c r="E63" i="5"/>
  <c r="F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V63" i="5"/>
  <c r="AW63" i="5"/>
  <c r="AX63" i="5"/>
  <c r="AY63" i="5"/>
  <c r="AZ63" i="5"/>
  <c r="BA63" i="5"/>
  <c r="BB63" i="5"/>
  <c r="C63" i="5"/>
  <c r="C60" i="5"/>
  <c r="D70" i="5"/>
  <c r="E70" i="5"/>
  <c r="F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V70" i="5"/>
  <c r="AW70" i="5"/>
  <c r="AX70" i="5"/>
  <c r="AY70" i="5"/>
  <c r="AZ70" i="5"/>
  <c r="BA70" i="5"/>
  <c r="BB70" i="5"/>
  <c r="C70" i="5"/>
  <c r="AW64" i="5"/>
  <c r="AW62" i="5"/>
  <c r="AW60" i="5"/>
  <c r="AW58" i="5"/>
  <c r="AW59" i="5"/>
  <c r="AW61" i="5"/>
  <c r="AZ61" i="5"/>
  <c r="BA61" i="5"/>
  <c r="BB61" i="5"/>
  <c r="AY61" i="5"/>
  <c r="AY59" i="5"/>
  <c r="AY20" i="5"/>
  <c r="AY10" i="5"/>
  <c r="AY60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V67" i="5"/>
  <c r="AW67" i="5"/>
  <c r="AX67" i="5"/>
  <c r="AY67" i="5"/>
  <c r="AZ67" i="5"/>
  <c r="BA67" i="5"/>
  <c r="BB67" i="5"/>
  <c r="D67" i="5"/>
  <c r="E67" i="5"/>
  <c r="F67" i="5"/>
  <c r="H67" i="5"/>
  <c r="C67" i="5"/>
  <c r="D64" i="5"/>
  <c r="E64" i="5"/>
  <c r="F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V64" i="5"/>
  <c r="AX64" i="5"/>
  <c r="AY64" i="5"/>
  <c r="AZ64" i="5"/>
  <c r="BA64" i="5"/>
  <c r="BB64" i="5"/>
  <c r="C64" i="5"/>
  <c r="D58" i="5"/>
  <c r="E58" i="5"/>
  <c r="F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V58" i="5"/>
  <c r="AX58" i="5"/>
  <c r="AY58" i="5"/>
  <c r="AZ58" i="5"/>
  <c r="BA58" i="5"/>
  <c r="BB58" i="5"/>
  <c r="C58" i="5"/>
  <c r="E60" i="5"/>
  <c r="F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V60" i="5"/>
  <c r="AX60" i="5"/>
  <c r="AZ60" i="5"/>
  <c r="BA60" i="5"/>
  <c r="BB60" i="5"/>
  <c r="D60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V62" i="5"/>
  <c r="AX62" i="5"/>
  <c r="AY62" i="5"/>
  <c r="AZ62" i="5"/>
  <c r="BA62" i="5"/>
  <c r="BB62" i="5"/>
  <c r="H62" i="5"/>
  <c r="D62" i="5"/>
  <c r="E62" i="5"/>
  <c r="F62" i="5"/>
  <c r="C62" i="5"/>
  <c r="K4" i="3"/>
  <c r="K5" i="3"/>
  <c r="K6" i="3"/>
  <c r="K7" i="3"/>
  <c r="K8" i="3"/>
  <c r="K9" i="3"/>
  <c r="K10" i="3"/>
  <c r="L10" i="3"/>
  <c r="I10" i="3"/>
  <c r="G10" i="3"/>
  <c r="L9" i="3"/>
  <c r="I9" i="3"/>
  <c r="G9" i="3"/>
  <c r="L8" i="3"/>
  <c r="I8" i="3"/>
  <c r="G8" i="3"/>
  <c r="L7" i="3"/>
  <c r="I7" i="3"/>
  <c r="G7" i="3"/>
  <c r="L6" i="3"/>
  <c r="I6" i="3"/>
  <c r="G6" i="3"/>
  <c r="L5" i="3"/>
  <c r="I5" i="3"/>
  <c r="G5" i="3"/>
  <c r="L4" i="3"/>
  <c r="I4" i="3"/>
  <c r="G4" i="3"/>
  <c r="D16" i="2"/>
  <c r="D15" i="2"/>
  <c r="D14" i="2"/>
  <c r="D13" i="2"/>
  <c r="D12" i="2"/>
  <c r="D11" i="2"/>
  <c r="D10" i="2"/>
  <c r="D9" i="2"/>
  <c r="D8" i="2"/>
  <c r="D7" i="2"/>
  <c r="D6" i="2"/>
  <c r="D5" i="2"/>
  <c r="G15" i="3"/>
  <c r="L23" i="3"/>
  <c r="K23" i="3"/>
  <c r="J23" i="3"/>
  <c r="I23" i="3"/>
  <c r="G23" i="3"/>
  <c r="L22" i="3"/>
  <c r="K22" i="3"/>
  <c r="J22" i="3"/>
  <c r="I22" i="3"/>
  <c r="G22" i="3"/>
  <c r="L21" i="3"/>
  <c r="K21" i="3"/>
  <c r="J21" i="3"/>
  <c r="I21" i="3"/>
  <c r="G21" i="3"/>
  <c r="L20" i="3"/>
  <c r="K20" i="3"/>
  <c r="J20" i="3"/>
  <c r="I20" i="3"/>
  <c r="G20" i="3"/>
  <c r="L19" i="3"/>
  <c r="K19" i="3"/>
  <c r="J19" i="3"/>
  <c r="I19" i="3"/>
  <c r="G19" i="3"/>
  <c r="L18" i="3"/>
  <c r="K18" i="3"/>
  <c r="J18" i="3"/>
  <c r="I18" i="3"/>
  <c r="G18" i="3"/>
  <c r="L17" i="3"/>
  <c r="K17" i="3"/>
  <c r="J17" i="3"/>
  <c r="I17" i="3"/>
  <c r="G17" i="3"/>
  <c r="L16" i="3"/>
  <c r="K16" i="3"/>
  <c r="J16" i="3"/>
  <c r="I16" i="3"/>
  <c r="G16" i="3"/>
  <c r="L15" i="3"/>
  <c r="K15" i="3"/>
  <c r="J15" i="3"/>
  <c r="I15" i="3"/>
  <c r="L14" i="3"/>
  <c r="K14" i="3"/>
  <c r="J14" i="3"/>
  <c r="I14" i="3"/>
  <c r="G14" i="3"/>
  <c r="L13" i="3"/>
  <c r="K13" i="3"/>
  <c r="J13" i="3"/>
  <c r="I13" i="3"/>
  <c r="G13" i="3"/>
  <c r="L12" i="3"/>
  <c r="K12" i="3"/>
  <c r="J12" i="3"/>
  <c r="I12" i="3"/>
  <c r="G12" i="3"/>
  <c r="F20" i="5"/>
  <c r="E20" i="5"/>
  <c r="D20" i="5"/>
  <c r="C20" i="5"/>
  <c r="X20" i="5"/>
  <c r="F10" i="5"/>
  <c r="E10" i="5"/>
  <c r="D10" i="5"/>
  <c r="C10" i="5"/>
  <c r="AW10" i="5"/>
  <c r="BA10" i="5"/>
  <c r="Y10" i="5"/>
  <c r="X10" i="5"/>
  <c r="W10" i="5"/>
  <c r="AK10" i="5"/>
  <c r="AJ10" i="5"/>
  <c r="AI10" i="5"/>
  <c r="AG10" i="5"/>
  <c r="AF10" i="5"/>
  <c r="AE10" i="5"/>
  <c r="AD10" i="5"/>
  <c r="AC10" i="5"/>
  <c r="M10" i="5"/>
  <c r="L10" i="5"/>
  <c r="K10" i="5"/>
  <c r="AL10" i="5"/>
  <c r="V10" i="5"/>
  <c r="AS10" i="5"/>
  <c r="U10" i="5"/>
  <c r="T10" i="5"/>
  <c r="AB10" i="5"/>
  <c r="S10" i="5"/>
  <c r="R10" i="5"/>
  <c r="AR10" i="5"/>
  <c r="AP10" i="5"/>
  <c r="AT10" i="5"/>
  <c r="P10" i="5"/>
  <c r="AA10" i="5"/>
  <c r="Z10" i="5"/>
  <c r="O10" i="5"/>
  <c r="N10" i="5"/>
  <c r="AO10" i="5"/>
  <c r="AM10" i="5"/>
  <c r="J10" i="5"/>
  <c r="I10" i="5"/>
  <c r="H10" i="5"/>
</calcChain>
</file>

<file path=xl/sharedStrings.xml><?xml version="1.0" encoding="utf-8"?>
<sst xmlns="http://schemas.openxmlformats.org/spreadsheetml/2006/main" count="1468" uniqueCount="507">
  <si>
    <t>Sample</t>
  </si>
  <si>
    <t>17QX02-1</t>
  </si>
  <si>
    <t>17QX55-2</t>
  </si>
  <si>
    <t>17QX56-1</t>
  </si>
  <si>
    <t>17QX87-1</t>
  </si>
  <si>
    <t>17YT13-3</t>
  </si>
  <si>
    <t>18QX18-1</t>
  </si>
  <si>
    <t>18QX43-1</t>
  </si>
  <si>
    <t>19JB84-1</t>
  </si>
  <si>
    <t>23YT09-5</t>
  </si>
  <si>
    <t>21JD08-2</t>
  </si>
  <si>
    <t>17QX23-1</t>
  </si>
  <si>
    <t>17QX30-4</t>
  </si>
  <si>
    <t>17QX34-1</t>
  </si>
  <si>
    <t>19JB80-4</t>
  </si>
  <si>
    <t>19JB80-5</t>
  </si>
  <si>
    <t>23YT09-1</t>
  </si>
  <si>
    <t>23YT09-2</t>
  </si>
  <si>
    <t>23YT09-3</t>
  </si>
  <si>
    <t>23YT18-1</t>
  </si>
  <si>
    <t>23YT18-2</t>
  </si>
  <si>
    <t>23YT32-1</t>
  </si>
  <si>
    <t>17QX96-3</t>
  </si>
  <si>
    <t>17QX54-1</t>
  </si>
  <si>
    <t>17QX81-1</t>
  </si>
  <si>
    <t>18QX11-1</t>
  </si>
  <si>
    <t>18QX41-1</t>
  </si>
  <si>
    <t>23YT31-1</t>
  </si>
  <si>
    <t>Lithology</t>
  </si>
  <si>
    <t>Reference</t>
  </si>
  <si>
    <t>This study</t>
  </si>
  <si>
    <t>He et al., 2021</t>
  </si>
  <si>
    <t>CaO</t>
  </si>
  <si>
    <t>MgO</t>
  </si>
  <si>
    <t>Mg#</t>
  </si>
  <si>
    <t xml:space="preserve">MnO </t>
  </si>
  <si>
    <t>LOI</t>
  </si>
  <si>
    <t>Total</t>
  </si>
  <si>
    <t>Li</t>
  </si>
  <si>
    <t>Sc</t>
  </si>
  <si>
    <t>V</t>
  </si>
  <si>
    <t>Cr</t>
  </si>
  <si>
    <t>Co</t>
  </si>
  <si>
    <t>Ni</t>
  </si>
  <si>
    <t>Cu</t>
  </si>
  <si>
    <t>Zn</t>
  </si>
  <si>
    <t>Ga</t>
  </si>
  <si>
    <t>Rb</t>
  </si>
  <si>
    <t>Sr</t>
  </si>
  <si>
    <t>Y</t>
  </si>
  <si>
    <t>Zr</t>
  </si>
  <si>
    <t>Nb</t>
  </si>
  <si>
    <t>Cd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</si>
  <si>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</si>
  <si>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</si>
  <si>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</si>
  <si>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</si>
  <si>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</si>
  <si>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</si>
  <si>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</si>
  <si>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</si>
  <si>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</si>
  <si>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</si>
  <si>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</si>
  <si>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</si>
  <si>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</si>
  <si>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</si>
  <si>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</si>
  <si>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</si>
  <si>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</si>
  <si>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</si>
  <si>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</si>
  <si>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Pb</t>
  </si>
  <si>
    <t>Th</t>
  </si>
  <si>
    <t>U</t>
  </si>
  <si>
    <t>Eu/Eu*</t>
  </si>
  <si>
    <t>HREE</t>
  </si>
  <si>
    <t>References</t>
  </si>
  <si>
    <t>Sample and analytical spot number</t>
  </si>
  <si>
    <t>Th/U</t>
  </si>
  <si>
    <t>Isotopic ratios</t>
  </si>
  <si>
    <t>Apparent ages (Ma)</t>
  </si>
  <si>
    <t>(ppm)</t>
  </si>
  <si>
    <t>±1σ</t>
  </si>
  <si>
    <t>17YT13-3 01</t>
  </si>
  <si>
    <t>17YT13-3 02</t>
  </si>
  <si>
    <t>17YT13-3 03</t>
  </si>
  <si>
    <t>17YT13-3 04</t>
  </si>
  <si>
    <t>17YT13-3 05</t>
  </si>
  <si>
    <t>17YT13-3 06</t>
  </si>
  <si>
    <t>17YT13-3 07</t>
  </si>
  <si>
    <t>17YT13-3 08</t>
  </si>
  <si>
    <t>17YT13-3 09</t>
  </si>
  <si>
    <t>17YT13-3 10</t>
  </si>
  <si>
    <t>17YT13-3 11</t>
  </si>
  <si>
    <t>17YT13-3 12</t>
  </si>
  <si>
    <t>17YT13-3 13</t>
  </si>
  <si>
    <t>17YT13-3 14</t>
  </si>
  <si>
    <t>17YT13-3 15</t>
  </si>
  <si>
    <t>17YT13-3 16</t>
  </si>
  <si>
    <t>17YT13-3 17</t>
  </si>
  <si>
    <t>17YT13-3 18</t>
  </si>
  <si>
    <t>17YT13-3 19</t>
  </si>
  <si>
    <t>17YT13-3 20</t>
  </si>
  <si>
    <t>17YT13-3 21</t>
  </si>
  <si>
    <t>17YT13-3 22</t>
  </si>
  <si>
    <t>2σ</t>
  </si>
  <si>
    <t>εHf (0)</t>
  </si>
  <si>
    <t>17YT13-3-1</t>
  </si>
  <si>
    <t>17YT13-3-2</t>
  </si>
  <si>
    <t>17YT13-3-3</t>
  </si>
  <si>
    <t>17YT13-3-4</t>
  </si>
  <si>
    <t>17YT13-3-5</t>
  </si>
  <si>
    <t>17YT13-3-6</t>
  </si>
  <si>
    <t>17YT13-3-7</t>
  </si>
  <si>
    <t>17YT13-3-8</t>
  </si>
  <si>
    <t>17YT13-3-9</t>
  </si>
  <si>
    <t>17YT13-3-10</t>
  </si>
  <si>
    <t>17YT13-3-11</t>
  </si>
  <si>
    <t>17YT13-3-12</t>
  </si>
  <si>
    <t>Sample and analytical
spot number</t>
  </si>
  <si>
    <t xml:space="preserve">Supplementary Table 5.  Themodynamic modelling and mantle oxygen fugacity for representative late Neoarchean metabasaltic rock samples from the Jiaobei terrane, North China Craton </t>
  </si>
  <si>
    <t>Major element compositions (wt.%) of modeled primary magmas  (Lee et al., 2009)</t>
  </si>
  <si>
    <t>Calculation results (Lee et al., 2009)</t>
  </si>
  <si>
    <t>FeO</t>
  </si>
  <si>
    <t>MnO</t>
  </si>
  <si>
    <r>
      <t>K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 xml:space="preserve">O </t>
    </r>
  </si>
  <si>
    <r>
      <t>T (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Times New Roman"/>
        <family val="1"/>
      </rPr>
      <t>)</t>
    </r>
  </si>
  <si>
    <t>P (Gpa)</t>
  </si>
  <si>
    <t>1408±42</t>
  </si>
  <si>
    <t>1.72±0.28</t>
  </si>
  <si>
    <t>1485±45</t>
  </si>
  <si>
    <t>2.64±0.27</t>
  </si>
  <si>
    <t>1397±42</t>
  </si>
  <si>
    <t>1.80±0.34</t>
  </si>
  <si>
    <t>1353±41</t>
  </si>
  <si>
    <t>1.58±0.28</t>
  </si>
  <si>
    <t>He et al., 2021.</t>
  </si>
  <si>
    <t>1327±40</t>
  </si>
  <si>
    <t>1.82±0.27</t>
  </si>
  <si>
    <t>Age (Ma)</t>
    <phoneticPr fontId="16" type="noConversion"/>
  </si>
  <si>
    <t>17YT13-3-01</t>
    <phoneticPr fontId="16" type="noConversion"/>
  </si>
  <si>
    <t>17YT13-3-02</t>
    <phoneticPr fontId="16" type="noConversion"/>
  </si>
  <si>
    <t>17YT13-3-03</t>
    <phoneticPr fontId="16" type="noConversion"/>
  </si>
  <si>
    <t>17YT13-3-05</t>
    <phoneticPr fontId="16" type="noConversion"/>
  </si>
  <si>
    <t>17YT13-3-04</t>
    <phoneticPr fontId="16" type="noConversion"/>
  </si>
  <si>
    <t>17YT13-3-06</t>
    <phoneticPr fontId="16" type="noConversion"/>
  </si>
  <si>
    <t>17YT13-3-07</t>
    <phoneticPr fontId="16" type="noConversion"/>
  </si>
  <si>
    <t>17YT13-3-08</t>
    <phoneticPr fontId="16" type="noConversion"/>
  </si>
  <si>
    <t>17YT13-3-09</t>
    <phoneticPr fontId="16" type="noConversion"/>
  </si>
  <si>
    <t>17YT13-3-10</t>
    <phoneticPr fontId="16" type="noConversion"/>
  </si>
  <si>
    <t>17YT13-3-11</t>
    <phoneticPr fontId="16" type="noConversion"/>
  </si>
  <si>
    <t>17YT13-3-12</t>
    <phoneticPr fontId="16" type="noConversion"/>
  </si>
  <si>
    <t>17YT13-3-13</t>
    <phoneticPr fontId="16" type="noConversion"/>
  </si>
  <si>
    <t>17YT13-3-14</t>
    <phoneticPr fontId="16" type="noConversion"/>
  </si>
  <si>
    <t>17YT13-3-15</t>
    <phoneticPr fontId="16" type="noConversion"/>
  </si>
  <si>
    <t>17YT13-3-16</t>
    <phoneticPr fontId="16" type="noConversion"/>
  </si>
  <si>
    <t>17YT13-3-17</t>
    <phoneticPr fontId="16" type="noConversion"/>
  </si>
  <si>
    <t>17YT13-3-18</t>
    <phoneticPr fontId="16" type="noConversion"/>
  </si>
  <si>
    <t>17YT13-3-19</t>
    <phoneticPr fontId="16" type="noConversion"/>
  </si>
  <si>
    <t>17YT13-3-20</t>
    <phoneticPr fontId="16" type="noConversion"/>
  </si>
  <si>
    <t>17YT13-3-21</t>
    <phoneticPr fontId="16" type="noConversion"/>
  </si>
  <si>
    <t>17YT13-3-22</t>
    <phoneticPr fontId="16" type="noConversion"/>
  </si>
  <si>
    <t xml:space="preserve">Supplementary Table 2.  LA-ICP-MS zircon U-Pb isotopic dating data for representative late Neoarchean metavolcanic rocks from the Jiaobei terrane, North China Craton </t>
    <phoneticPr fontId="16" type="noConversion"/>
  </si>
  <si>
    <t xml:space="preserve">Supplementary Table 3.  Zircon Lu-Hf isotopic data for representative late Neoarchean metavolcanic rock samples from the Jiaobei terrane, North China Craton </t>
    <phoneticPr fontId="16" type="noConversion"/>
  </si>
  <si>
    <r>
      <t>Crystallization age
 (t</t>
    </r>
    <r>
      <rPr>
        <b/>
        <vertAlign val="sub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>, Ma)</t>
    </r>
    <phoneticPr fontId="16" type="noConversion"/>
  </si>
  <si>
    <t xml:space="preserve">Supplementary Table 4.  Zircon trace element (ppm) data for representative late Neoarchean metavolcanic rock samples from the Jiaobei terrane, North China Craton </t>
    <phoneticPr fontId="16" type="noConversion"/>
  </si>
  <si>
    <t xml:space="preserve">Group </t>
    <phoneticPr fontId="16" type="noConversion"/>
  </si>
  <si>
    <t>Supplementary Table 1. Whole-rock major (wt.%) and trace (ppm) element data for representative late Neoarchean metavolcanic rocks from the Jiaobei terrane, North China Craton</t>
    <phoneticPr fontId="16" type="noConversion"/>
  </si>
  <si>
    <r>
      <t>εHf</t>
    </r>
    <r>
      <rPr>
        <b/>
        <vertAlign val="subscript"/>
        <sz val="10"/>
        <color theme="1"/>
        <rFont val="Times New Roman"/>
        <family val="1"/>
      </rPr>
      <t xml:space="preserve"> </t>
    </r>
    <r>
      <rPr>
        <b/>
        <sz val="10"/>
        <color theme="1"/>
        <rFont val="Times New Roman"/>
        <family val="1"/>
      </rPr>
      <t>(t</t>
    </r>
    <r>
      <rPr>
        <b/>
        <vertAlign val="sub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>)</t>
    </r>
  </si>
  <si>
    <t>-</t>
    <phoneticPr fontId="16" type="noConversion"/>
  </si>
  <si>
    <t>Garner amphibolite</t>
  </si>
  <si>
    <t>Amphibolite</t>
  </si>
  <si>
    <t>Amphibolite</t>
    <phoneticPr fontId="16" type="noConversion"/>
  </si>
  <si>
    <t>Calculation results (Gao et al., 2022)</t>
    <phoneticPr fontId="16" type="noConversion"/>
  </si>
  <si>
    <t>1.04±0.33</t>
    <phoneticPr fontId="16" type="noConversion"/>
  </si>
  <si>
    <t>1239±40</t>
    <phoneticPr fontId="16" type="noConversion"/>
  </si>
  <si>
    <t>1.27±0.33</t>
    <phoneticPr fontId="16" type="noConversion"/>
  </si>
  <si>
    <t>Group #1</t>
    <phoneticPr fontId="16" type="noConversion"/>
  </si>
  <si>
    <t>Group #3</t>
    <phoneticPr fontId="16" type="noConversion"/>
  </si>
  <si>
    <t>Group #2</t>
    <phoneticPr fontId="16" type="noConversion"/>
  </si>
  <si>
    <t>Sample 17YT13-1 (Group #2)</t>
    <phoneticPr fontId="16" type="noConversion"/>
  </si>
  <si>
    <t>Sample 17YT13-3 (Group #2)</t>
    <phoneticPr fontId="16" type="noConversion"/>
  </si>
  <si>
    <t>1224±39</t>
    <phoneticPr fontId="16" type="noConversion"/>
  </si>
  <si>
    <t xml:space="preserve">Aulbach, S., Stagno, V., 2016. Evidence for a reducing Archean ambient mantle and its effects on the carbon cycle. Geology 44, 751-754. </t>
    <phoneticPr fontId="16" type="noConversion"/>
  </si>
  <si>
    <t xml:space="preserve">Gao, L., Liu, S.W., Cawood, P.A., Hu, F.Y., Wang, J.T., Sun, G.Z., Hu, Y.L., 2022. Oxidation of Archean upper mantle caused by crustal recycling. Nature Communication 13, 3283. </t>
    <phoneticPr fontId="16" type="noConversion"/>
  </si>
  <si>
    <t xml:space="preserve">Lee, C.T.A., Luffi, P., Plank, T., Dalton, H., Leeman, W.P., 2009. Constraints on the depths and temperatures of basaltic magma generation on Earth and other terrestrial planets using new thermobarometers for mafic magmas. Earth and Planetary Science Letters 279, 20-33. </t>
    <phoneticPr fontId="16" type="noConversion"/>
  </si>
  <si>
    <t>20ZY (3)-1</t>
  </si>
  <si>
    <t>20ZY (3)-2</t>
  </si>
  <si>
    <t>20ZY (3)-3</t>
  </si>
  <si>
    <t>Type</t>
    <phoneticPr fontId="16" type="noConversion"/>
  </si>
  <si>
    <t>Group #2 (IAT)</t>
    <phoneticPr fontId="16" type="noConversion"/>
  </si>
  <si>
    <t>17QX62-1</t>
    <phoneticPr fontId="16" type="noConversion"/>
  </si>
  <si>
    <t>He et al., 2021</t>
    <phoneticPr fontId="16" type="noConversion"/>
  </si>
  <si>
    <t>Sample 23YT31-1 (Group #1)</t>
    <phoneticPr fontId="16" type="noConversion"/>
  </si>
  <si>
    <t>23YT31-1-01</t>
    <phoneticPr fontId="16" type="noConversion"/>
  </si>
  <si>
    <t>23YT31-1-02</t>
    <phoneticPr fontId="16" type="noConversion"/>
  </si>
  <si>
    <t>23YT31-1-03</t>
  </si>
  <si>
    <t>23YT31-1-04</t>
  </si>
  <si>
    <t>23YT31-1-05</t>
  </si>
  <si>
    <t>23YT31-1-06</t>
  </si>
  <si>
    <t>23YT31-1-07</t>
  </si>
  <si>
    <t>23YT31-1-08</t>
  </si>
  <si>
    <t>23YT31-1-09</t>
  </si>
  <si>
    <t>23YT31-1-10</t>
  </si>
  <si>
    <t>23YT31-1-11</t>
  </si>
  <si>
    <t>23YT31-1-12</t>
  </si>
  <si>
    <t>23YT31-1-03</t>
    <phoneticPr fontId="16" type="noConversion"/>
  </si>
  <si>
    <t>23YT31-1-04</t>
    <phoneticPr fontId="16" type="noConversion"/>
  </si>
  <si>
    <r>
      <t>207</t>
    </r>
    <r>
      <rPr>
        <b/>
        <sz val="10"/>
        <color theme="1"/>
        <rFont val="Times New Roman"/>
        <family val="1"/>
      </rPr>
      <t>Pb/</t>
    </r>
    <r>
      <rPr>
        <b/>
        <vertAlign val="superscript"/>
        <sz val="10"/>
        <color theme="1"/>
        <rFont val="Times New Roman"/>
        <family val="1"/>
      </rPr>
      <t>206</t>
    </r>
    <r>
      <rPr>
        <b/>
        <sz val="10"/>
        <color theme="1"/>
        <rFont val="Times New Roman"/>
        <family val="1"/>
      </rPr>
      <t>Pb</t>
    </r>
  </si>
  <si>
    <r>
      <t>207</t>
    </r>
    <r>
      <rPr>
        <b/>
        <sz val="10"/>
        <color theme="1"/>
        <rFont val="Times New Roman"/>
        <family val="1"/>
      </rPr>
      <t>Pb/</t>
    </r>
    <r>
      <rPr>
        <b/>
        <vertAlign val="superscript"/>
        <sz val="10"/>
        <color theme="1"/>
        <rFont val="Times New Roman"/>
        <family val="1"/>
      </rPr>
      <t>235</t>
    </r>
    <r>
      <rPr>
        <b/>
        <sz val="10"/>
        <color theme="1"/>
        <rFont val="Times New Roman"/>
        <family val="1"/>
      </rPr>
      <t>U</t>
    </r>
  </si>
  <si>
    <r>
      <t>206</t>
    </r>
    <r>
      <rPr>
        <b/>
        <sz val="10"/>
        <color theme="1"/>
        <rFont val="Times New Roman"/>
        <family val="1"/>
      </rPr>
      <t>Pb/</t>
    </r>
    <r>
      <rPr>
        <b/>
        <vertAlign val="superscript"/>
        <sz val="10"/>
        <color theme="1"/>
        <rFont val="Times New Roman"/>
        <family val="1"/>
      </rPr>
      <t>238</t>
    </r>
    <r>
      <rPr>
        <b/>
        <sz val="10"/>
        <color theme="1"/>
        <rFont val="Times New Roman"/>
        <family val="1"/>
      </rPr>
      <t>U</t>
    </r>
  </si>
  <si>
    <t>17QX62-1-02</t>
  </si>
  <si>
    <t>17QX62-1-03</t>
  </si>
  <si>
    <t>17QX62-1-04</t>
  </si>
  <si>
    <t>17QX62-1-05</t>
  </si>
  <si>
    <t>17QX62-1-06</t>
  </si>
  <si>
    <t>17QX62-1-07</t>
  </si>
  <si>
    <t>17QX62-1-08</t>
  </si>
  <si>
    <t>17QX62-1-09</t>
  </si>
  <si>
    <t>17QX62-1-10</t>
  </si>
  <si>
    <t>17QX62-1-11</t>
  </si>
  <si>
    <t>17QX62-1-12</t>
  </si>
  <si>
    <t>17QX62-1-13</t>
  </si>
  <si>
    <t>17QX62-1-14</t>
  </si>
  <si>
    <t>17QX62-1-15</t>
  </si>
  <si>
    <t>17QX62-1-16</t>
  </si>
  <si>
    <t>17QX62-1-17</t>
  </si>
  <si>
    <t>23YT18-1-01</t>
  </si>
  <si>
    <t>23YT18-1-02</t>
  </si>
  <si>
    <t>23YT18-1-03</t>
  </si>
  <si>
    <t>23YT18-1-04</t>
  </si>
  <si>
    <t>23YT18-1-05</t>
  </si>
  <si>
    <t>23YT18-1-06</t>
  </si>
  <si>
    <t>23YT18-1-01</t>
    <phoneticPr fontId="16" type="noConversion"/>
  </si>
  <si>
    <t>23YT18-1-02</t>
    <phoneticPr fontId="16" type="noConversion"/>
  </si>
  <si>
    <t>17QX62-1-01</t>
  </si>
  <si>
    <t>17QX62-1-02</t>
    <phoneticPr fontId="16" type="noConversion"/>
  </si>
  <si>
    <r>
      <rPr>
        <sz val="10"/>
        <rFont val="Times New Roman"/>
        <family val="1"/>
      </rPr>
      <t>17QX62-1-2</t>
    </r>
    <phoneticPr fontId="16" type="noConversion"/>
  </si>
  <si>
    <r>
      <rPr>
        <sz val="10"/>
        <rFont val="Times New Roman"/>
        <family val="1"/>
      </rPr>
      <t>17QX62-1-3</t>
    </r>
    <phoneticPr fontId="16" type="noConversion"/>
  </si>
  <si>
    <r>
      <rPr>
        <sz val="10"/>
        <rFont val="Times New Roman"/>
        <family val="1"/>
      </rPr>
      <t>17QX62-1-4</t>
    </r>
    <phoneticPr fontId="16" type="noConversion"/>
  </si>
  <si>
    <r>
      <rPr>
        <sz val="10"/>
        <rFont val="Times New Roman"/>
        <family val="1"/>
      </rPr>
      <t>17QX62-1-5</t>
    </r>
    <phoneticPr fontId="16" type="noConversion"/>
  </si>
  <si>
    <r>
      <rPr>
        <sz val="10"/>
        <rFont val="Times New Roman"/>
        <family val="1"/>
      </rPr>
      <t>17QX62-1-6</t>
    </r>
    <phoneticPr fontId="16" type="noConversion"/>
  </si>
  <si>
    <r>
      <rPr>
        <sz val="10"/>
        <rFont val="Times New Roman"/>
        <family val="1"/>
      </rPr>
      <t>17QX62-1-7</t>
    </r>
    <phoneticPr fontId="16" type="noConversion"/>
  </si>
  <si>
    <r>
      <rPr>
        <sz val="10"/>
        <rFont val="Times New Roman"/>
        <family val="1"/>
      </rPr>
      <t>17QX62-1-8</t>
    </r>
    <phoneticPr fontId="16" type="noConversion"/>
  </si>
  <si>
    <r>
      <rPr>
        <sz val="10"/>
        <rFont val="Times New Roman"/>
        <family val="1"/>
      </rPr>
      <t>17QX62-1-9</t>
    </r>
    <phoneticPr fontId="16" type="noConversion"/>
  </si>
  <si>
    <r>
      <rPr>
        <sz val="10"/>
        <rFont val="Times New Roman"/>
        <family val="1"/>
      </rPr>
      <t>17QX62-1-10</t>
    </r>
    <phoneticPr fontId="16" type="noConversion"/>
  </si>
  <si>
    <r>
      <rPr>
        <sz val="10"/>
        <rFont val="Times New Roman"/>
        <family val="1"/>
      </rPr>
      <t>17QX62-1-11</t>
    </r>
    <phoneticPr fontId="16" type="noConversion"/>
  </si>
  <si>
    <r>
      <rPr>
        <sz val="10"/>
        <rFont val="Times New Roman"/>
        <family val="1"/>
      </rPr>
      <t>17QX62-1-12</t>
    </r>
    <phoneticPr fontId="16" type="noConversion"/>
  </si>
  <si>
    <r>
      <rPr>
        <sz val="10"/>
        <rFont val="Times New Roman"/>
        <family val="1"/>
      </rPr>
      <t>17QX62-1-13</t>
    </r>
    <phoneticPr fontId="16" type="noConversion"/>
  </si>
  <si>
    <r>
      <rPr>
        <sz val="10"/>
        <rFont val="Times New Roman"/>
        <family val="1"/>
      </rPr>
      <t>17QX62-1-14</t>
    </r>
    <phoneticPr fontId="16" type="noConversion"/>
  </si>
  <si>
    <r>
      <rPr>
        <sz val="10"/>
        <rFont val="Times New Roman"/>
        <family val="1"/>
      </rPr>
      <t>17QX62-1-15</t>
    </r>
    <phoneticPr fontId="16" type="noConversion"/>
  </si>
  <si>
    <r>
      <rPr>
        <sz val="10"/>
        <rFont val="Times New Roman"/>
        <family val="1"/>
      </rPr>
      <t>17QX62-1-16</t>
    </r>
    <phoneticPr fontId="16" type="noConversion"/>
  </si>
  <si>
    <r>
      <rPr>
        <sz val="10"/>
        <rFont val="Times New Roman"/>
        <family val="1"/>
      </rPr>
      <t>17QX62-1-17</t>
    </r>
    <phoneticPr fontId="16" type="noConversion"/>
  </si>
  <si>
    <t>Sample 17QX62-1 (Group #3)</t>
    <phoneticPr fontId="16" type="noConversion"/>
  </si>
  <si>
    <t>Sample 23YT18-1 (Group #2)</t>
    <phoneticPr fontId="16" type="noConversion"/>
  </si>
  <si>
    <t>18QX46-1</t>
    <phoneticPr fontId="16" type="noConversion"/>
  </si>
  <si>
    <t>~2606</t>
    <phoneticPr fontId="16" type="noConversion"/>
  </si>
  <si>
    <t>17QX62-1-01</t>
    <phoneticPr fontId="16" type="noConversion"/>
  </si>
  <si>
    <t>17QX62-1-11</t>
    <phoneticPr fontId="16" type="noConversion"/>
  </si>
  <si>
    <t>Ce*</t>
    <phoneticPr fontId="16" type="noConversion"/>
  </si>
  <si>
    <t>TREE</t>
    <phoneticPr fontId="16" type="noConversion"/>
  </si>
  <si>
    <t>-0.25±0.32</t>
    <phoneticPr fontId="16" type="noConversion"/>
  </si>
  <si>
    <t>-0.23±0.32</t>
    <phoneticPr fontId="16" type="noConversion"/>
  </si>
  <si>
    <t>-0.33±0.32</t>
    <phoneticPr fontId="16" type="noConversion"/>
  </si>
  <si>
    <t>-0.41±0.32</t>
    <phoneticPr fontId="16" type="noConversion"/>
  </si>
  <si>
    <t>-0.22±0.32</t>
    <phoneticPr fontId="16" type="noConversion"/>
  </si>
  <si>
    <t>-0.30±0.32</t>
    <phoneticPr fontId="16" type="noConversion"/>
  </si>
  <si>
    <t>-0.58±0.32</t>
    <phoneticPr fontId="16" type="noConversion"/>
  </si>
  <si>
    <t>-0.92±0.32</t>
    <phoneticPr fontId="16" type="noConversion"/>
  </si>
  <si>
    <t>-0.29±0.32</t>
    <phoneticPr fontId="16" type="noConversion"/>
  </si>
  <si>
    <t>-0.63±0.32</t>
    <phoneticPr fontId="16" type="noConversion"/>
  </si>
  <si>
    <t>-0.85±0.32</t>
    <phoneticPr fontId="16" type="noConversion"/>
  </si>
  <si>
    <t>-1.00±0.32</t>
    <phoneticPr fontId="16" type="noConversion"/>
  </si>
  <si>
    <t>-0.19±0.32</t>
    <phoneticPr fontId="16" type="noConversion"/>
  </si>
  <si>
    <t>-0.34±0.32</t>
    <phoneticPr fontId="16" type="noConversion"/>
  </si>
  <si>
    <t>-0.99±0.32</t>
    <phoneticPr fontId="16" type="noConversion"/>
  </si>
  <si>
    <t>-1.14±0.32</t>
    <phoneticPr fontId="16" type="noConversion"/>
  </si>
  <si>
    <t>-0.67±0.32</t>
    <phoneticPr fontId="16" type="noConversion"/>
  </si>
  <si>
    <t>-0.82±0.32</t>
    <phoneticPr fontId="16" type="noConversion"/>
  </si>
  <si>
    <t>-0.26±0.32</t>
    <phoneticPr fontId="16" type="noConversion"/>
  </si>
  <si>
    <t>-0.38±0.32</t>
    <phoneticPr fontId="16" type="noConversion"/>
  </si>
  <si>
    <t>-0.03±0.32</t>
    <phoneticPr fontId="16" type="noConversion"/>
  </si>
  <si>
    <t>-0.15±0.32</t>
    <phoneticPr fontId="16" type="noConversion"/>
  </si>
  <si>
    <t>-0.02±0.32</t>
    <phoneticPr fontId="16" type="noConversion"/>
  </si>
  <si>
    <t>0.31±0.32</t>
    <phoneticPr fontId="16" type="noConversion"/>
  </si>
  <si>
    <t>Be</t>
  </si>
  <si>
    <t>Sn</t>
  </si>
  <si>
    <t>Tl</t>
  </si>
  <si>
    <t>TREE</t>
  </si>
  <si>
    <t>Interpreted geodynamic setting from the literature</t>
  </si>
  <si>
    <t>Picritic-boninitic metabasite</t>
  </si>
  <si>
    <t>GY28</t>
  </si>
  <si>
    <t>GE9</t>
  </si>
  <si>
    <t>17YZS-04</t>
  </si>
  <si>
    <t>Subduction zone</t>
  </si>
  <si>
    <t>135643IC</t>
  </si>
  <si>
    <t>Superior</t>
  </si>
  <si>
    <t>Boninitic rock</t>
  </si>
  <si>
    <t>Boily, M., Dion, C., 2002. Geochemistry of boninite-type volcanic rocks in the Frotet-Evans greenstone belt, Opatica subprovince, Quebec: implications for the evolution of Archaean greenstone belts. Precambrian Research 115(1-4), 349-371.</t>
  </si>
  <si>
    <t>Forearc</t>
  </si>
  <si>
    <t>11C</t>
  </si>
  <si>
    <t>135587IC</t>
  </si>
  <si>
    <t>93-16157</t>
  </si>
  <si>
    <t>135685IC</t>
  </si>
  <si>
    <t>97-14480</t>
  </si>
  <si>
    <t>97-14477</t>
  </si>
  <si>
    <t>96-11333</t>
  </si>
  <si>
    <t>96-12037</t>
  </si>
  <si>
    <t>Tholeiitic basalt</t>
  </si>
  <si>
    <t>Pilbara</t>
  </si>
  <si>
    <t>Boninite</t>
  </si>
  <si>
    <t>X-130</t>
  </si>
  <si>
    <t>Shchipansky, A.A., Samsonov, A.V., Bibikova, E.V., Babarina, I.I., Konilov, A.N., Krylov, K.A., Slabunov, A.I., Bogina, M.M., 2004. 2.8 Ga boninite-hosting partial suprasubduction zone ophiolite sequences from the North Karelian greenstone belt, NE Baltic Shield, Russia. In: Kusky, T.M. (ed.). Precambrian Ophiolites and Related Rocks. Developments in Precambrian Geology 13, 425-486.</t>
  </si>
  <si>
    <t>Suprasubduction zone</t>
  </si>
  <si>
    <t>H-325/1</t>
  </si>
  <si>
    <t>H-326</t>
  </si>
  <si>
    <t>Intra-oceanic subduction zone</t>
  </si>
  <si>
    <t>G22</t>
  </si>
  <si>
    <t>Manikyamba, C., Naqvi, S.M., Rao, D.S., Mohan, M.R., Khanna, T.C., Rao, T.G., Reddy, G.L.N., 2005. Boninites from the Neoarchaean Gadwal greenstone belt, Eastern Dharwar craton, India: implications for Archaean subduction processes. Earth and Planetary Science Letters 230(1-2), 65-83.</t>
  </si>
  <si>
    <t>G42</t>
  </si>
  <si>
    <t>G44</t>
  </si>
  <si>
    <t>Smithies, R.H., Champion, D.C., Van Kranendonk, M.J., Howard, H.M., Hickman, A.H., 2005. Modern-style subduction processes in the Mesoarchaean: geochemical evidence from the 3.12 Ga Whundo intra-oceanic arc. Earth and Planetary Science Letters 231, 221-237.</t>
  </si>
  <si>
    <t>Yilgarn</t>
  </si>
  <si>
    <t>Angerer, T., Kerrich, R., Hagemann, S.G., 2013. Geochemistry of a komatiitic, boninitic, and tholeiitic basalt association in the Mesoarchean Koolyanobbing greenstone belt, Southern Cross Domain, Yilgarn craton: Implications for mantle sources and geodynamic setting of banded iron formation. Precambrian Research 224, 110-128.</t>
  </si>
  <si>
    <t>KM-4</t>
  </si>
  <si>
    <t>KM-3</t>
  </si>
  <si>
    <t>Boninite-like rock</t>
  </si>
  <si>
    <t>Smithies, R.H., Ivanic, T.J., Lowrey, J.R., Morris, P.A., Barnes, S.J., Wyche, S., Lu, Y.-J., 2018. Two distinct origins for Archean greenstone belts. Earth and Planetary Science Letters 487, 106-116.</t>
  </si>
  <si>
    <t>Smithies, R.H., Champion, D.C., Sun, S.S., 2004. Evidence for early LREE-enriched mantle source regions: diverse magmas from the c. 3·0 Ga Mallina Basin, Pilbara Craton, NW Australia. Journal of Petrology 45(8), 1515-1537.</t>
  </si>
  <si>
    <t>Intracratonic setting</t>
  </si>
  <si>
    <t>Boninite-like</t>
  </si>
  <si>
    <t>Lowrey, J.R., Wyman, D.A., Ivanic, T.J., Smithies, R.H., Maas, R., 2020. Archean boninite-like rocks of the Northwestern Youanmi Terrane, Yilgarn Craton: Geochemistry and petrogenesis. Journal of Petrology, egaa002. doi:10.1093/petrology/egaa002.</t>
  </si>
  <si>
    <t>Basalt</t>
  </si>
  <si>
    <t>KM-9</t>
  </si>
  <si>
    <t>Watkins, K.P., Hickman, A.H., 1990. Geological evolution and mineralization of the Murchison Province, Western Australia. Geological Survey of Western Australia Bulletin 137, 445p.</t>
  </si>
  <si>
    <t>42U</t>
  </si>
  <si>
    <t>High-Mg basalt</t>
  </si>
  <si>
    <t>Basaltic andesite</t>
  </si>
  <si>
    <t>Wyman, D.A., 2019. 2.8 Ga subduction-related magmatism in the Youanmi Terrane and a revised geodynamic model for the Yilgarn Craton. Precambrian Research 327, 14-33.</t>
    <phoneticPr fontId="16" type="noConversion"/>
  </si>
  <si>
    <t>Metabasaltic andesite</t>
  </si>
  <si>
    <t>Wyman, D.A., 2019. 2.8 Ga subduction-related magmatism in the Youanmi Terrane and a revised geodynamic model for the Yilgarn Craton. Precambrian Research 327, 14-33.</t>
  </si>
  <si>
    <t>224950B</t>
  </si>
  <si>
    <r>
      <t>TiO</t>
    </r>
    <r>
      <rPr>
        <vertAlign val="subscript"/>
        <sz val="10"/>
        <color theme="1"/>
        <rFont val="Times New Roman"/>
        <family val="1"/>
      </rPr>
      <t>2</t>
    </r>
  </si>
  <si>
    <r>
      <t>Al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3</t>
    </r>
  </si>
  <si>
    <r>
      <t>Na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</si>
  <si>
    <r>
      <t>K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</si>
  <si>
    <r>
      <t>P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5</t>
    </r>
  </si>
  <si>
    <r>
      <t>(Nb/La)</t>
    </r>
    <r>
      <rPr>
        <vertAlign val="subscript"/>
        <sz val="10"/>
        <color theme="1"/>
        <rFont val="Times New Roman"/>
        <family val="1"/>
      </rPr>
      <t>PM</t>
    </r>
  </si>
  <si>
    <r>
      <t>Al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>/TiO</t>
    </r>
    <r>
      <rPr>
        <vertAlign val="subscript"/>
        <sz val="10"/>
        <color theme="1"/>
        <rFont val="Times New Roman"/>
        <family val="1"/>
      </rPr>
      <t>2</t>
    </r>
  </si>
  <si>
    <r>
      <t>T (</t>
    </r>
    <r>
      <rPr>
        <sz val="10"/>
        <color theme="1"/>
        <rFont val="Arial Regular"/>
      </rPr>
      <t>℃</t>
    </r>
    <r>
      <rPr>
        <sz val="10"/>
        <color theme="1"/>
        <rFont val="Times New Roman"/>
        <family val="1"/>
      </rPr>
      <t>)</t>
    </r>
  </si>
  <si>
    <t>Low-Ti tholeiite</t>
    <phoneticPr fontId="16" type="noConversion"/>
  </si>
  <si>
    <r>
      <t>(La/Yb)</t>
    </r>
    <r>
      <rPr>
        <vertAlign val="subscript"/>
        <sz val="10"/>
        <color theme="1"/>
        <rFont val="Times New Roman"/>
        <family val="1"/>
      </rPr>
      <t>N</t>
    </r>
    <phoneticPr fontId="16" type="noConversion"/>
  </si>
  <si>
    <r>
      <t>(Gd/Yb)</t>
    </r>
    <r>
      <rPr>
        <vertAlign val="subscript"/>
        <sz val="10"/>
        <color theme="1"/>
        <rFont val="Times New Roman"/>
        <family val="1"/>
      </rPr>
      <t>N</t>
    </r>
    <phoneticPr fontId="16" type="noConversion"/>
  </si>
  <si>
    <t>Subduction-related lateral accretion</t>
    <phoneticPr fontId="16" type="noConversion"/>
  </si>
  <si>
    <r>
      <rPr>
        <i/>
        <sz val="10"/>
        <color theme="1"/>
        <rFont val="Times New Roman"/>
        <family val="1"/>
      </rPr>
      <t>f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 xml:space="preserve">2 </t>
    </r>
    <r>
      <rPr>
        <sz val="10"/>
        <color theme="1"/>
        <rFont val="Times New Roman"/>
        <family val="1"/>
      </rPr>
      <t>(V-Ti) corrected to 1 Gpa</t>
    </r>
    <phoneticPr fontId="16" type="noConversion"/>
  </si>
  <si>
    <r>
      <rPr>
        <i/>
        <sz val="10"/>
        <color theme="1"/>
        <rFont val="Times New Roman"/>
        <family val="1"/>
      </rPr>
      <t>f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 xml:space="preserve">2 </t>
    </r>
    <r>
      <rPr>
        <sz val="10"/>
        <color theme="1"/>
        <rFont val="Times New Roman"/>
        <family val="1"/>
      </rPr>
      <t>(V-Ti)</t>
    </r>
    <phoneticPr fontId="16" type="noConversion"/>
  </si>
  <si>
    <t>Sotiriou, P., Polat, A., Windley, B.F., Kusky, T., 2022. Temporal variations in the incompatible trace element systematics of Archean volcanic rocks: Implications for tectonic processes in the early Earth. Precambrian Research, 368, 106487.</t>
    <phoneticPr fontId="16" type="noConversion"/>
  </si>
  <si>
    <t>Zhong, Y.T., Kusky, T., Wang, L., Polat, A., Liu, X.Y., Peng, Y.Y., Luan, Z.K., Wang, C.H., Wang, J.P., Deng, H., 2021. Alpine-style nappes thrust over ancient North China continental margin demonstrate large Archean horizontal plate motions. Nature Communications 12(1), 6172.</t>
    <phoneticPr fontId="16" type="noConversion"/>
  </si>
  <si>
    <t>Smithies, R.H., Ivanic, T.J., Lowrey, J.R., Morris, P.A., Barnes, S.J., Wyche, S., Lu, Y.J., 2018. Two distinct origins for Archean greenstone belts. Earth and Planetary Science Letters 487, 106-116.</t>
    <phoneticPr fontId="16" type="noConversion"/>
  </si>
  <si>
    <t>Smithies, R.H., Champion, D.C., Sun, S.S., 2004. The case for Archaean boninites. Contributions to Mineralogy and Petrology, 147(6), 705-721.</t>
    <phoneticPr fontId="16" type="noConversion"/>
  </si>
  <si>
    <t>Smithies, R.H., 2002. Archean boninite-like rocks in an intracratonic setting. Earth and Planetary Science Letters 197(1-2), 19-34.</t>
    <phoneticPr fontId="16" type="noConversion"/>
  </si>
  <si>
    <t>Sr/Y</t>
    <phoneticPr fontId="16" type="noConversion"/>
  </si>
  <si>
    <t>Shchipansky, A.A., Samsonov, A.V., Bibikova, E.V., Babarina, I.I., Konilov, A.N., Krylov, K.A., Slabunov, A.I., Bogina, M.M., 2004. 2.8 Ga boninite-hosting partial suprasubduction zone ophiolite sequences from the North Karelian greenstone belt, NE Baltic Shield, Russia. In: Kusky, T.M. (ed.). Precambrian Ophiolites and Related Rocks. Developments in Precambrian Geology 13, 425-486.</t>
    <phoneticPr fontId="16" type="noConversion"/>
  </si>
  <si>
    <t>Baltic Shield</t>
    <phoneticPr fontId="16" type="noConversion"/>
  </si>
  <si>
    <t>Group #1 (Boninite)</t>
    <phoneticPr fontId="16" type="noConversion"/>
  </si>
  <si>
    <t>North China Craton</t>
    <phoneticPr fontId="16" type="noConversion"/>
  </si>
  <si>
    <t>G04/75</t>
  </si>
  <si>
    <t>Greenland</t>
  </si>
  <si>
    <t>462945b</t>
  </si>
  <si>
    <t>462946b</t>
  </si>
  <si>
    <t>242671B</t>
  </si>
  <si>
    <t>242717A</t>
  </si>
  <si>
    <t>242790A</t>
  </si>
  <si>
    <t>Boninitic affinity metabasaltic amphibolite</t>
  </si>
  <si>
    <t>Boninitic-like amphibolite</t>
  </si>
  <si>
    <t>Island arc</t>
  </si>
  <si>
    <t>Polat, A., Hofmann, A.W., Rosing, M.T., 2002. Boninite-like volcanic rocks in the 3.7–3.8 Ga Isua greenstone belt, West Greenland: geochemical evidence for intra-oceanic subduction zone processes in the early Earth. Chemical Geology 184(3-4), 231-254.</t>
  </si>
  <si>
    <r>
      <t>SiO</t>
    </r>
    <r>
      <rPr>
        <vertAlign val="subscript"/>
        <sz val="10"/>
        <rFont val="Times New Roman"/>
        <family val="1"/>
      </rPr>
      <t xml:space="preserve">2 </t>
    </r>
  </si>
  <si>
    <r>
      <t>Al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O</t>
    </r>
    <r>
      <rPr>
        <vertAlign val="subscript"/>
        <sz val="10"/>
        <rFont val="Times New Roman"/>
        <family val="1"/>
      </rPr>
      <t xml:space="preserve">3 </t>
    </r>
  </si>
  <si>
    <r>
      <t>Fe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O</t>
    </r>
    <r>
      <rPr>
        <vertAlign val="subscript"/>
        <sz val="10"/>
        <rFont val="Times New Roman"/>
        <family val="1"/>
      </rPr>
      <t>3T</t>
    </r>
  </si>
  <si>
    <r>
      <t>FeO</t>
    </r>
    <r>
      <rPr>
        <vertAlign val="subscript"/>
        <sz val="10"/>
        <rFont val="Times New Roman"/>
        <family val="1"/>
      </rPr>
      <t>T</t>
    </r>
  </si>
  <si>
    <r>
      <t>Na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 xml:space="preserve">O </t>
    </r>
  </si>
  <si>
    <r>
      <t>TiO</t>
    </r>
    <r>
      <rPr>
        <vertAlign val="subscript"/>
        <sz val="10"/>
        <rFont val="Times New Roman"/>
        <family val="1"/>
      </rPr>
      <t xml:space="preserve">2 </t>
    </r>
  </si>
  <si>
    <r>
      <t>P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O</t>
    </r>
    <r>
      <rPr>
        <vertAlign val="subscript"/>
        <sz val="10"/>
        <rFont val="Times New Roman"/>
        <family val="1"/>
      </rPr>
      <t xml:space="preserve">5 </t>
    </r>
  </si>
  <si>
    <r>
      <t>Al</t>
    </r>
    <r>
      <rPr>
        <vertAlign val="subscript"/>
        <sz val="10"/>
        <color rgb="FF000000"/>
        <rFont val="Times New Roman"/>
        <family val="1"/>
      </rPr>
      <t>2</t>
    </r>
    <r>
      <rPr>
        <sz val="10"/>
        <color indexed="8"/>
        <rFont val="Times New Roman"/>
        <family val="1"/>
      </rPr>
      <t>O</t>
    </r>
    <r>
      <rPr>
        <vertAlign val="subscript"/>
        <sz val="10"/>
        <color rgb="FF000000"/>
        <rFont val="Times New Roman"/>
        <family val="1"/>
      </rPr>
      <t>3</t>
    </r>
    <r>
      <rPr>
        <sz val="10"/>
        <color indexed="8"/>
        <rFont val="Times New Roman"/>
        <family val="1"/>
      </rPr>
      <t>/TiO</t>
    </r>
    <r>
      <rPr>
        <vertAlign val="subscript"/>
        <sz val="10"/>
        <color rgb="FF000000"/>
        <rFont val="Times New Roman"/>
        <family val="1"/>
      </rPr>
      <t>2</t>
    </r>
    <phoneticPr fontId="16" type="noConversion"/>
  </si>
  <si>
    <r>
      <t>(La/Sm)</t>
    </r>
    <r>
      <rPr>
        <vertAlign val="subscript"/>
        <sz val="10"/>
        <color rgb="FF000000"/>
        <rFont val="Times New Roman"/>
        <family val="1"/>
      </rPr>
      <t>N</t>
    </r>
    <phoneticPr fontId="16" type="noConversion"/>
  </si>
  <si>
    <r>
      <t>(La/Yb)</t>
    </r>
    <r>
      <rPr>
        <vertAlign val="subscript"/>
        <sz val="10"/>
        <rFont val="Times New Roman"/>
        <family val="1"/>
      </rPr>
      <t>N</t>
    </r>
  </si>
  <si>
    <r>
      <t>(Hf/Sm)</t>
    </r>
    <r>
      <rPr>
        <vertAlign val="subscript"/>
        <sz val="10"/>
        <rFont val="Times New Roman"/>
        <family val="1"/>
      </rPr>
      <t>N</t>
    </r>
  </si>
  <si>
    <r>
      <t>(Sm/Yb)</t>
    </r>
    <r>
      <rPr>
        <vertAlign val="subscript"/>
        <sz val="10"/>
        <rFont val="Times New Roman"/>
        <family val="1"/>
      </rPr>
      <t>N</t>
    </r>
    <phoneticPr fontId="16" type="noConversion"/>
  </si>
  <si>
    <r>
      <t>(Gd/Yb)</t>
    </r>
    <r>
      <rPr>
        <vertAlign val="subscript"/>
        <sz val="10"/>
        <rFont val="Times New Roman"/>
        <family val="1"/>
      </rPr>
      <t>N</t>
    </r>
  </si>
  <si>
    <r>
      <rPr>
        <sz val="10"/>
        <rFont val="Times New Roman"/>
        <family val="1"/>
      </rPr>
      <t>(Nb/La)</t>
    </r>
    <r>
      <rPr>
        <vertAlign val="subscript"/>
        <sz val="10"/>
        <rFont val="Times New Roman"/>
        <family val="1"/>
      </rPr>
      <t>PM</t>
    </r>
  </si>
  <si>
    <r>
      <t>Note:</t>
    </r>
    <r>
      <rPr>
        <sz val="10"/>
        <color theme="1"/>
        <rFont val="Times New Roman"/>
        <family val="1"/>
      </rPr>
      <t xml:space="preserve"> LOI, loss on ignition; Mg# = 100Mg/(Mg+Fe</t>
    </r>
    <r>
      <rPr>
        <vertAlign val="subscript"/>
        <sz val="10"/>
        <color theme="1"/>
        <rFont val="Times New Roman"/>
        <family val="1"/>
      </rPr>
      <t>total</t>
    </r>
    <r>
      <rPr>
        <sz val="10"/>
        <color theme="1"/>
        <rFont val="Times New Roman"/>
        <family val="1"/>
      </rPr>
      <t>) in atomic ratio; TREE, total rare earth elements; HREE (La-Lu), heavy rare earth elements (Ho-Lu); Ce* = Ce</t>
    </r>
    <r>
      <rPr>
        <vertAlign val="subscript"/>
        <sz val="10"/>
        <color theme="1"/>
        <rFont val="Times New Roman"/>
        <family val="1"/>
      </rPr>
      <t>N</t>
    </r>
    <r>
      <rPr>
        <sz val="10"/>
        <color theme="1"/>
        <rFont val="Times New Roman"/>
        <family val="1"/>
      </rPr>
      <t>/SQRT(LaN*SmN); Eu</t>
    </r>
    <r>
      <rPr>
        <vertAlign val="subscript"/>
        <sz val="10"/>
        <color theme="1"/>
        <rFont val="Times New Roman"/>
        <family val="1"/>
      </rPr>
      <t>N</t>
    </r>
    <r>
      <rPr>
        <sz val="10"/>
        <color theme="1"/>
        <rFont val="Times New Roman"/>
        <family val="1"/>
      </rPr>
      <t>/Eu*</t>
    </r>
    <r>
      <rPr>
        <vertAlign val="subscript"/>
        <sz val="10"/>
        <color theme="1"/>
        <rFont val="Times New Roman"/>
        <family val="1"/>
      </rPr>
      <t>N</t>
    </r>
    <r>
      <rPr>
        <sz val="10"/>
        <color theme="1"/>
        <rFont val="Times New Roman"/>
        <family val="1"/>
      </rPr>
      <t xml:space="preserve"> = Eu</t>
    </r>
    <r>
      <rPr>
        <vertAlign val="subscript"/>
        <sz val="10"/>
        <color theme="1"/>
        <rFont val="Times New Roman"/>
        <family val="1"/>
      </rPr>
      <t>N</t>
    </r>
    <r>
      <rPr>
        <sz val="10"/>
        <color theme="1"/>
        <rFont val="Times New Roman"/>
        <family val="1"/>
      </rPr>
      <t>/SQRT(Sm*Gd</t>
    </r>
    <r>
      <rPr>
        <vertAlign val="subscript"/>
        <sz val="10"/>
        <color theme="1"/>
        <rFont val="Times New Roman"/>
        <family val="1"/>
      </rPr>
      <t>N</t>
    </r>
    <r>
      <rPr>
        <sz val="10"/>
        <color theme="1"/>
        <rFont val="Times New Roman"/>
        <family val="1"/>
      </rPr>
      <t xml:space="preserve">); Subscript N - chondrite;  Subscript PM - Primitive Mantle normalized value; -: untested. </t>
    </r>
    <phoneticPr fontId="16" type="noConversion"/>
  </si>
  <si>
    <r>
      <t xml:space="preserve">     He, X., Wang, W., Santosh, M., Yao, J. C., Gao, K. T., Zhang, Y. H., Lu, D. G. &amp; Guo, L. S. Late Neoarchean crustal growth under paired continental arc-back arc system in the North China Craton. </t>
    </r>
    <r>
      <rPr>
        <i/>
        <sz val="10"/>
        <color theme="1"/>
        <rFont val="Times New Roman"/>
        <family val="1"/>
      </rPr>
      <t>Geoscience Frontiers</t>
    </r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Times New Roman"/>
        <family val="1"/>
      </rPr>
      <t>12</t>
    </r>
    <r>
      <rPr>
        <sz val="10"/>
        <color theme="1"/>
        <rFont val="Times New Roman"/>
        <family val="1"/>
      </rPr>
      <t>, 101-120 (2021).</t>
    </r>
  </si>
  <si>
    <r>
      <rPr>
        <b/>
        <sz val="10"/>
        <color theme="1"/>
        <rFont val="Times New Roman"/>
        <family val="1"/>
      </rPr>
      <t>Note:</t>
    </r>
    <r>
      <rPr>
        <sz val="10"/>
        <color theme="1"/>
        <rFont val="Times New Roman"/>
        <family val="1"/>
      </rPr>
      <t xml:space="preserve"> </t>
    </r>
    <r>
      <rPr>
        <vertAlign val="superscript"/>
        <sz val="10"/>
        <color theme="1"/>
        <rFont val="Times New Roman"/>
        <family val="1"/>
      </rPr>
      <t>204</t>
    </r>
    <r>
      <rPr>
        <sz val="10"/>
        <color theme="1"/>
        <rFont val="Times New Roman"/>
        <family val="1"/>
      </rPr>
      <t>Pb is corrected using the method of Andersen (2002).</t>
    </r>
  </si>
  <si>
    <r>
      <t xml:space="preserve">     Andersen, T. Correlation of common lead in U-Pb analyses that do not report </t>
    </r>
    <r>
      <rPr>
        <vertAlign val="superscript"/>
        <sz val="10"/>
        <color theme="1"/>
        <rFont val="Times New Roman"/>
        <family val="1"/>
      </rPr>
      <t>204</t>
    </r>
    <r>
      <rPr>
        <sz val="10"/>
        <color theme="1"/>
        <rFont val="Times New Roman"/>
        <family val="1"/>
      </rPr>
      <t xml:space="preserve">Pb. </t>
    </r>
    <r>
      <rPr>
        <i/>
        <sz val="10"/>
        <color theme="1"/>
        <rFont val="Times New Roman"/>
        <family val="1"/>
      </rPr>
      <t>Chemical Geology</t>
    </r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Times New Roman"/>
        <family val="1"/>
      </rPr>
      <t>192</t>
    </r>
    <r>
      <rPr>
        <sz val="10"/>
        <color theme="1"/>
        <rFont val="Times New Roman"/>
        <family val="1"/>
      </rPr>
      <t>, 59-79 (2002).</t>
    </r>
  </si>
  <si>
    <r>
      <t xml:space="preserve">Apparent 
</t>
    </r>
    <r>
      <rPr>
        <b/>
        <vertAlign val="superscript"/>
        <sz val="10"/>
        <color theme="1"/>
        <rFont val="Times New Roman"/>
        <family val="1"/>
      </rPr>
      <t>207</t>
    </r>
    <r>
      <rPr>
        <b/>
        <sz val="10"/>
        <color theme="1"/>
        <rFont val="Times New Roman"/>
        <family val="1"/>
      </rPr>
      <t>Pb/</t>
    </r>
    <r>
      <rPr>
        <b/>
        <vertAlign val="superscript"/>
        <sz val="10"/>
        <color theme="1"/>
        <rFont val="Times New Roman"/>
        <family val="1"/>
      </rPr>
      <t>206</t>
    </r>
    <r>
      <rPr>
        <b/>
        <sz val="10"/>
        <color theme="1"/>
        <rFont val="Times New Roman"/>
        <family val="1"/>
      </rPr>
      <t>Pb age 
(t</t>
    </r>
    <r>
      <rPr>
        <b/>
        <vertAlign val="subscript"/>
        <sz val="10"/>
        <color theme="1"/>
        <rFont val="Times New Roman"/>
        <family val="1"/>
      </rPr>
      <t>1</t>
    </r>
    <r>
      <rPr>
        <b/>
        <sz val="10"/>
        <color theme="1"/>
        <rFont val="Times New Roman"/>
        <family val="1"/>
      </rPr>
      <t>, Ma)</t>
    </r>
  </si>
  <si>
    <r>
      <t>176</t>
    </r>
    <r>
      <rPr>
        <b/>
        <sz val="10"/>
        <color theme="1"/>
        <rFont val="Times New Roman"/>
        <family val="1"/>
      </rPr>
      <t>Yb/</t>
    </r>
    <r>
      <rPr>
        <b/>
        <vertAlign val="superscript"/>
        <sz val="10"/>
        <color theme="1"/>
        <rFont val="Times New Roman"/>
        <family val="1"/>
      </rPr>
      <t>177</t>
    </r>
    <r>
      <rPr>
        <b/>
        <sz val="10"/>
        <color theme="1"/>
        <rFont val="Times New Roman"/>
        <family val="1"/>
      </rPr>
      <t>Hf</t>
    </r>
  </si>
  <si>
    <r>
      <t>176</t>
    </r>
    <r>
      <rPr>
        <b/>
        <sz val="10"/>
        <color theme="1"/>
        <rFont val="Times New Roman"/>
        <family val="1"/>
      </rPr>
      <t>Lu/</t>
    </r>
    <r>
      <rPr>
        <b/>
        <vertAlign val="superscript"/>
        <sz val="10"/>
        <color theme="1"/>
        <rFont val="Times New Roman"/>
        <family val="1"/>
      </rPr>
      <t>177</t>
    </r>
    <r>
      <rPr>
        <b/>
        <sz val="10"/>
        <color theme="1"/>
        <rFont val="Times New Roman"/>
        <family val="1"/>
      </rPr>
      <t>Hf</t>
    </r>
  </si>
  <si>
    <r>
      <t>176</t>
    </r>
    <r>
      <rPr>
        <b/>
        <sz val="10"/>
        <color theme="1"/>
        <rFont val="Times New Roman"/>
        <family val="1"/>
      </rPr>
      <t>Hf/</t>
    </r>
    <r>
      <rPr>
        <b/>
        <vertAlign val="superscript"/>
        <sz val="10"/>
        <color theme="1"/>
        <rFont val="Times New Roman"/>
        <family val="1"/>
      </rPr>
      <t>177</t>
    </r>
    <r>
      <rPr>
        <b/>
        <sz val="10"/>
        <color theme="1"/>
        <rFont val="Times New Roman"/>
        <family val="1"/>
      </rPr>
      <t>Hf</t>
    </r>
  </si>
  <si>
    <r>
      <t>(</t>
    </r>
    <r>
      <rPr>
        <b/>
        <vertAlign val="superscript"/>
        <sz val="10"/>
        <color theme="1"/>
        <rFont val="Times New Roman"/>
        <family val="1"/>
      </rPr>
      <t>176</t>
    </r>
    <r>
      <rPr>
        <b/>
        <sz val="10"/>
        <color theme="1"/>
        <rFont val="Times New Roman"/>
        <family val="1"/>
      </rPr>
      <t>Hf/</t>
    </r>
    <r>
      <rPr>
        <b/>
        <vertAlign val="superscript"/>
        <sz val="10"/>
        <color theme="1"/>
        <rFont val="Times New Roman"/>
        <family val="1"/>
      </rPr>
      <t>177</t>
    </r>
    <r>
      <rPr>
        <b/>
        <sz val="10"/>
        <color theme="1"/>
        <rFont val="Times New Roman"/>
        <family val="1"/>
      </rPr>
      <t>Hf)t</t>
    </r>
    <r>
      <rPr>
        <b/>
        <vertAlign val="subscript"/>
        <sz val="10"/>
        <color theme="1"/>
        <rFont val="Times New Roman"/>
        <family val="1"/>
      </rPr>
      <t>1</t>
    </r>
  </si>
  <si>
    <r>
      <t>T</t>
    </r>
    <r>
      <rPr>
        <b/>
        <vertAlign val="subscript"/>
        <sz val="10"/>
        <color theme="1"/>
        <rFont val="Times New Roman"/>
        <family val="1"/>
      </rPr>
      <t xml:space="preserve">DM </t>
    </r>
    <r>
      <rPr>
        <b/>
        <sz val="10"/>
        <color theme="1"/>
        <rFont val="Times New Roman"/>
        <family val="1"/>
      </rPr>
      <t>(Ma)</t>
    </r>
  </si>
  <si>
    <r>
      <t>f</t>
    </r>
    <r>
      <rPr>
        <b/>
        <vertAlign val="subscript"/>
        <sz val="10"/>
        <color theme="1"/>
        <rFont val="Times New Roman"/>
        <family val="1"/>
      </rPr>
      <t>Lu/Hf</t>
    </r>
  </si>
  <si>
    <r>
      <t xml:space="preserve">Note: The present </t>
    </r>
    <r>
      <rPr>
        <vertAlign val="superscript"/>
        <sz val="10"/>
        <color theme="1"/>
        <rFont val="Times New Roman"/>
        <family val="1"/>
      </rPr>
      <t>176</t>
    </r>
    <r>
      <rPr>
        <sz val="10"/>
        <color theme="1"/>
        <rFont val="Times New Roman"/>
        <family val="1"/>
      </rPr>
      <t>Hf/</t>
    </r>
    <r>
      <rPr>
        <vertAlign val="superscript"/>
        <sz val="10"/>
        <color theme="1"/>
        <rFont val="Times New Roman"/>
        <family val="1"/>
      </rPr>
      <t>177</t>
    </r>
    <r>
      <rPr>
        <sz val="10"/>
        <color theme="1"/>
        <rFont val="Times New Roman"/>
        <family val="1"/>
      </rPr>
      <t xml:space="preserve">Hf and </t>
    </r>
    <r>
      <rPr>
        <vertAlign val="superscript"/>
        <sz val="10"/>
        <color theme="1"/>
        <rFont val="Times New Roman"/>
        <family val="1"/>
      </rPr>
      <t>176</t>
    </r>
    <r>
      <rPr>
        <sz val="10"/>
        <color theme="1"/>
        <rFont val="Times New Roman"/>
        <family val="1"/>
      </rPr>
      <t>Lu/</t>
    </r>
    <r>
      <rPr>
        <vertAlign val="superscript"/>
        <sz val="10"/>
        <color theme="1"/>
        <rFont val="Times New Roman"/>
        <family val="1"/>
      </rPr>
      <t>177</t>
    </r>
    <r>
      <rPr>
        <sz val="10"/>
        <color theme="1"/>
        <rFont val="Times New Roman"/>
        <family val="1"/>
      </rPr>
      <t>Hf ratios of chondrite and depleted mantle are 0.282772 and 0.0332, and 0.28325 and 0.0384, respectively (Blichert-Toft &amp; Albarède, 1997; Griffin et al., 2000). 
λ=1.867 × 10</t>
    </r>
    <r>
      <rPr>
        <vertAlign val="superscript"/>
        <sz val="10"/>
        <color theme="1"/>
        <rFont val="Times New Roman"/>
        <family val="1"/>
      </rPr>
      <t>-11</t>
    </r>
    <r>
      <rPr>
        <sz val="10"/>
        <color theme="1"/>
        <rFont val="Times New Roman"/>
        <family val="1"/>
      </rPr>
      <t xml:space="preserve"> a</t>
    </r>
    <r>
      <rPr>
        <vertAlign val="superscript"/>
        <sz val="10"/>
        <color theme="1"/>
        <rFont val="Times New Roman"/>
        <family val="1"/>
      </rPr>
      <t>-1</t>
    </r>
    <r>
      <rPr>
        <sz val="10"/>
        <color theme="1"/>
        <rFont val="Times New Roman"/>
        <family val="1"/>
      </rPr>
      <t xml:space="preserve"> (Söderlund et al., 2004).</t>
    </r>
  </si>
  <si>
    <r>
      <t>εHf</t>
    </r>
    <r>
      <rPr>
        <vertAlign val="subscript"/>
        <sz val="10"/>
        <color theme="1"/>
        <rFont val="Times New Roman"/>
        <family val="1"/>
      </rPr>
      <t>(t)</t>
    </r>
    <r>
      <rPr>
        <sz val="10"/>
        <color theme="1"/>
        <rFont val="Times New Roman"/>
        <family val="1"/>
      </rPr>
      <t xml:space="preserve"> = 10000{[(</t>
    </r>
    <r>
      <rPr>
        <vertAlign val="superscript"/>
        <sz val="10"/>
        <color theme="1"/>
        <rFont val="Times New Roman"/>
        <family val="1"/>
      </rPr>
      <t>176</t>
    </r>
    <r>
      <rPr>
        <sz val="10"/>
        <color theme="1"/>
        <rFont val="Times New Roman"/>
        <family val="1"/>
      </rPr>
      <t xml:space="preserve">Hf/ </t>
    </r>
    <r>
      <rPr>
        <vertAlign val="superscript"/>
        <sz val="10"/>
        <color theme="1"/>
        <rFont val="Times New Roman"/>
        <family val="1"/>
      </rPr>
      <t>177</t>
    </r>
    <r>
      <rPr>
        <sz val="10"/>
        <color theme="1"/>
        <rFont val="Times New Roman"/>
        <family val="1"/>
      </rPr>
      <t>Hf)</t>
    </r>
    <r>
      <rPr>
        <vertAlign val="subscript"/>
        <sz val="10"/>
        <color theme="1"/>
        <rFont val="Times New Roman"/>
        <family val="1"/>
      </rPr>
      <t>S</t>
    </r>
    <r>
      <rPr>
        <sz val="10"/>
        <color theme="1"/>
        <rFont val="Times New Roman"/>
        <family val="1"/>
      </rPr>
      <t>−(</t>
    </r>
    <r>
      <rPr>
        <vertAlign val="superscript"/>
        <sz val="10"/>
        <color theme="1"/>
        <rFont val="Times New Roman"/>
        <family val="1"/>
      </rPr>
      <t>176</t>
    </r>
    <r>
      <rPr>
        <sz val="10"/>
        <color theme="1"/>
        <rFont val="Times New Roman"/>
        <family val="1"/>
      </rPr>
      <t xml:space="preserve">Lu/ </t>
    </r>
    <r>
      <rPr>
        <vertAlign val="superscript"/>
        <sz val="10"/>
        <color theme="1"/>
        <rFont val="Times New Roman"/>
        <family val="1"/>
      </rPr>
      <t>177</t>
    </r>
    <r>
      <rPr>
        <sz val="10"/>
        <color theme="1"/>
        <rFont val="Times New Roman"/>
        <family val="1"/>
      </rPr>
      <t>Hf)</t>
    </r>
    <r>
      <rPr>
        <vertAlign val="subscript"/>
        <sz val="10"/>
        <color theme="1"/>
        <rFont val="Times New Roman"/>
        <family val="1"/>
      </rPr>
      <t>S</t>
    </r>
    <r>
      <rPr>
        <sz val="10"/>
        <color theme="1"/>
        <rFont val="Times New Roman"/>
        <family val="1"/>
      </rPr>
      <t xml:space="preserve"> × (e</t>
    </r>
    <r>
      <rPr>
        <vertAlign val="superscript"/>
        <sz val="10"/>
        <color theme="1"/>
        <rFont val="Times New Roman"/>
        <family val="1"/>
      </rPr>
      <t>λt</t>
    </r>
    <r>
      <rPr>
        <sz val="10"/>
        <color theme="1"/>
        <rFont val="Times New Roman"/>
        <family val="1"/>
      </rPr>
      <t>− 1)]/[(</t>
    </r>
    <r>
      <rPr>
        <vertAlign val="superscript"/>
        <sz val="10"/>
        <color theme="1"/>
        <rFont val="Times New Roman"/>
        <family val="1"/>
      </rPr>
      <t>176</t>
    </r>
    <r>
      <rPr>
        <sz val="10"/>
        <color theme="1"/>
        <rFont val="Times New Roman"/>
        <family val="1"/>
      </rPr>
      <t xml:space="preserve">Hf/ </t>
    </r>
    <r>
      <rPr>
        <vertAlign val="superscript"/>
        <sz val="10"/>
        <color theme="1"/>
        <rFont val="Times New Roman"/>
        <family val="1"/>
      </rPr>
      <t>177</t>
    </r>
    <r>
      <rPr>
        <sz val="10"/>
        <color theme="1"/>
        <rFont val="Times New Roman"/>
        <family val="1"/>
      </rPr>
      <t>Hf)</t>
    </r>
    <r>
      <rPr>
        <vertAlign val="subscript"/>
        <sz val="10"/>
        <color theme="1"/>
        <rFont val="Times New Roman"/>
        <family val="1"/>
      </rPr>
      <t>CHUR,0</t>
    </r>
    <r>
      <rPr>
        <sz val="10"/>
        <color theme="1"/>
        <rFont val="Times New Roman"/>
        <family val="1"/>
      </rPr>
      <t>−(</t>
    </r>
    <r>
      <rPr>
        <vertAlign val="superscript"/>
        <sz val="10"/>
        <color theme="1"/>
        <rFont val="Times New Roman"/>
        <family val="1"/>
      </rPr>
      <t>176</t>
    </r>
    <r>
      <rPr>
        <sz val="10"/>
        <color theme="1"/>
        <rFont val="Times New Roman"/>
        <family val="1"/>
      </rPr>
      <t xml:space="preserve">Lu/ </t>
    </r>
    <r>
      <rPr>
        <vertAlign val="superscript"/>
        <sz val="10"/>
        <color theme="1"/>
        <rFont val="Times New Roman"/>
        <family val="1"/>
      </rPr>
      <t>177</t>
    </r>
    <r>
      <rPr>
        <sz val="10"/>
        <color theme="1"/>
        <rFont val="Times New Roman"/>
        <family val="1"/>
      </rPr>
      <t>Hf)</t>
    </r>
    <r>
      <rPr>
        <vertAlign val="subscript"/>
        <sz val="10"/>
        <color theme="1"/>
        <rFont val="Times New Roman"/>
        <family val="1"/>
      </rPr>
      <t>CHUR</t>
    </r>
    <r>
      <rPr>
        <sz val="10"/>
        <color theme="1"/>
        <rFont val="Times New Roman"/>
        <family val="1"/>
      </rPr>
      <t xml:space="preserve"> × (e</t>
    </r>
    <r>
      <rPr>
        <vertAlign val="superscript"/>
        <sz val="10"/>
        <color theme="1"/>
        <rFont val="Times New Roman"/>
        <family val="1"/>
      </rPr>
      <t>λt</t>
    </r>
    <r>
      <rPr>
        <sz val="10"/>
        <color theme="1"/>
        <rFont val="Times New Roman"/>
        <family val="1"/>
      </rPr>
      <t xml:space="preserve">− 1)] − 1}; </t>
    </r>
  </si>
  <si>
    <r>
      <t>T</t>
    </r>
    <r>
      <rPr>
        <vertAlign val="subscript"/>
        <sz val="10"/>
        <color theme="1"/>
        <rFont val="Times New Roman"/>
        <family val="1"/>
      </rPr>
      <t>DM</t>
    </r>
    <r>
      <rPr>
        <sz val="10"/>
        <color theme="1"/>
        <rFont val="Times New Roman"/>
        <family val="1"/>
      </rPr>
      <t xml:space="preserve"> = 1/λ* ln {1 + [(</t>
    </r>
    <r>
      <rPr>
        <vertAlign val="superscript"/>
        <sz val="10"/>
        <color theme="1"/>
        <rFont val="Times New Roman"/>
        <family val="1"/>
      </rPr>
      <t>176</t>
    </r>
    <r>
      <rPr>
        <sz val="10"/>
        <color theme="1"/>
        <rFont val="Times New Roman"/>
        <family val="1"/>
      </rPr>
      <t>Hf/</t>
    </r>
    <r>
      <rPr>
        <vertAlign val="superscript"/>
        <sz val="10"/>
        <color theme="1"/>
        <rFont val="Times New Roman"/>
        <family val="1"/>
      </rPr>
      <t>177</t>
    </r>
    <r>
      <rPr>
        <sz val="10"/>
        <color theme="1"/>
        <rFont val="Times New Roman"/>
        <family val="1"/>
      </rPr>
      <t>Hf)</t>
    </r>
    <r>
      <rPr>
        <vertAlign val="subscript"/>
        <sz val="10"/>
        <color theme="1"/>
        <rFont val="Times New Roman"/>
        <family val="1"/>
      </rPr>
      <t>S</t>
    </r>
    <r>
      <rPr>
        <sz val="10"/>
        <color theme="1"/>
        <rFont val="Times New Roman"/>
        <family val="1"/>
      </rPr>
      <t xml:space="preserve"> − (</t>
    </r>
    <r>
      <rPr>
        <vertAlign val="superscript"/>
        <sz val="10"/>
        <color theme="1"/>
        <rFont val="Times New Roman"/>
        <family val="1"/>
      </rPr>
      <t>176</t>
    </r>
    <r>
      <rPr>
        <sz val="10"/>
        <color theme="1"/>
        <rFont val="Times New Roman"/>
        <family val="1"/>
      </rPr>
      <t>Hf/</t>
    </r>
    <r>
      <rPr>
        <vertAlign val="superscript"/>
        <sz val="10"/>
        <color theme="1"/>
        <rFont val="Times New Roman"/>
        <family val="1"/>
      </rPr>
      <t>177</t>
    </r>
    <r>
      <rPr>
        <sz val="10"/>
        <color theme="1"/>
        <rFont val="Times New Roman"/>
        <family val="1"/>
      </rPr>
      <t>Hf)</t>
    </r>
    <r>
      <rPr>
        <vertAlign val="subscript"/>
        <sz val="10"/>
        <color theme="1"/>
        <rFont val="Times New Roman"/>
        <family val="1"/>
      </rPr>
      <t>DM</t>
    </r>
    <r>
      <rPr>
        <sz val="10"/>
        <color theme="1"/>
        <rFont val="Times New Roman"/>
        <family val="1"/>
      </rPr>
      <t xml:space="preserve"> ]/[(</t>
    </r>
    <r>
      <rPr>
        <vertAlign val="superscript"/>
        <sz val="10"/>
        <color theme="1"/>
        <rFont val="Times New Roman"/>
        <family val="1"/>
      </rPr>
      <t>176</t>
    </r>
    <r>
      <rPr>
        <sz val="10"/>
        <color theme="1"/>
        <rFont val="Times New Roman"/>
        <family val="1"/>
      </rPr>
      <t>Lu/</t>
    </r>
    <r>
      <rPr>
        <vertAlign val="superscript"/>
        <sz val="10"/>
        <color theme="1"/>
        <rFont val="Times New Roman"/>
        <family val="1"/>
      </rPr>
      <t xml:space="preserve"> 177</t>
    </r>
    <r>
      <rPr>
        <sz val="10"/>
        <color theme="1"/>
        <rFont val="Times New Roman"/>
        <family val="1"/>
      </rPr>
      <t>Hf)</t>
    </r>
    <r>
      <rPr>
        <vertAlign val="subscript"/>
        <sz val="10"/>
        <color theme="1"/>
        <rFont val="Times New Roman"/>
        <family val="1"/>
      </rPr>
      <t>S</t>
    </r>
    <r>
      <rPr>
        <sz val="10"/>
        <color theme="1"/>
        <rFont val="Times New Roman"/>
        <family val="1"/>
      </rPr>
      <t xml:space="preserve"> − ( </t>
    </r>
    <r>
      <rPr>
        <vertAlign val="superscript"/>
        <sz val="10"/>
        <color theme="1"/>
        <rFont val="Times New Roman"/>
        <family val="1"/>
      </rPr>
      <t>176</t>
    </r>
    <r>
      <rPr>
        <sz val="10"/>
        <color theme="1"/>
        <rFont val="Times New Roman"/>
        <family val="1"/>
      </rPr>
      <t>Lu/</t>
    </r>
    <r>
      <rPr>
        <vertAlign val="superscript"/>
        <sz val="10"/>
        <color theme="1"/>
        <rFont val="Times New Roman"/>
        <family val="1"/>
      </rPr>
      <t>177</t>
    </r>
    <r>
      <rPr>
        <sz val="10"/>
        <color theme="1"/>
        <rFont val="Times New Roman"/>
        <family val="1"/>
      </rPr>
      <t>Hf)</t>
    </r>
    <r>
      <rPr>
        <vertAlign val="subscript"/>
        <sz val="10"/>
        <color theme="1"/>
        <rFont val="Times New Roman"/>
        <family val="1"/>
      </rPr>
      <t>DM</t>
    </r>
    <r>
      <rPr>
        <sz val="10"/>
        <color theme="1"/>
        <rFont val="Times New Roman"/>
        <family val="1"/>
      </rPr>
      <t>]};</t>
    </r>
  </si>
  <si>
    <r>
      <t>T</t>
    </r>
    <r>
      <rPr>
        <vertAlign val="subscript"/>
        <sz val="10"/>
        <color theme="1"/>
        <rFont val="Times New Roman"/>
        <family val="1"/>
      </rPr>
      <t>DM</t>
    </r>
    <r>
      <rPr>
        <vertAlign val="superscript"/>
        <sz val="10"/>
        <color theme="1"/>
        <rFont val="Times New Roman"/>
        <family val="1"/>
      </rPr>
      <t>C</t>
    </r>
    <r>
      <rPr>
        <sz val="10"/>
        <color theme="1"/>
        <rFont val="Times New Roman"/>
        <family val="1"/>
      </rPr>
      <t xml:space="preserve"> =1/λ* ln{1+[(</t>
    </r>
    <r>
      <rPr>
        <vertAlign val="superscript"/>
        <sz val="10"/>
        <color theme="1"/>
        <rFont val="Times New Roman"/>
        <family val="1"/>
      </rPr>
      <t>176</t>
    </r>
    <r>
      <rPr>
        <sz val="10"/>
        <color theme="1"/>
        <rFont val="Times New Roman"/>
        <family val="1"/>
      </rPr>
      <t xml:space="preserve">Hf/ </t>
    </r>
    <r>
      <rPr>
        <vertAlign val="superscript"/>
        <sz val="10"/>
        <color theme="1"/>
        <rFont val="Times New Roman"/>
        <family val="1"/>
      </rPr>
      <t xml:space="preserve">177 </t>
    </r>
    <r>
      <rPr>
        <sz val="10"/>
        <color theme="1"/>
        <rFont val="Times New Roman"/>
        <family val="1"/>
      </rPr>
      <t>Hf)s,t −(</t>
    </r>
    <r>
      <rPr>
        <vertAlign val="superscript"/>
        <sz val="10"/>
        <color theme="1"/>
        <rFont val="Times New Roman"/>
        <family val="1"/>
      </rPr>
      <t>176</t>
    </r>
    <r>
      <rPr>
        <sz val="10"/>
        <color theme="1"/>
        <rFont val="Times New Roman"/>
        <family val="1"/>
      </rPr>
      <t>Hf/</t>
    </r>
    <r>
      <rPr>
        <vertAlign val="superscript"/>
        <sz val="10"/>
        <color theme="1"/>
        <rFont val="Times New Roman"/>
        <family val="1"/>
      </rPr>
      <t>177</t>
    </r>
    <r>
      <rPr>
        <sz val="10"/>
        <color theme="1"/>
        <rFont val="Times New Roman"/>
        <family val="1"/>
      </rPr>
      <t>Hf)</t>
    </r>
    <r>
      <rPr>
        <vertAlign val="subscript"/>
        <sz val="10"/>
        <color theme="1"/>
        <rFont val="Times New Roman"/>
        <family val="1"/>
      </rPr>
      <t>DMt</t>
    </r>
    <r>
      <rPr>
        <sz val="10"/>
        <color theme="1"/>
        <rFont val="Times New Roman"/>
        <family val="1"/>
      </rPr>
      <t xml:space="preserve"> ]/[(</t>
    </r>
    <r>
      <rPr>
        <vertAlign val="superscript"/>
        <sz val="10"/>
        <color theme="1"/>
        <rFont val="Times New Roman"/>
        <family val="1"/>
      </rPr>
      <t>176</t>
    </r>
    <r>
      <rPr>
        <sz val="10"/>
        <color theme="1"/>
        <rFont val="Times New Roman"/>
        <family val="1"/>
      </rPr>
      <t>Lu/</t>
    </r>
    <r>
      <rPr>
        <vertAlign val="superscript"/>
        <sz val="10"/>
        <color theme="1"/>
        <rFont val="Times New Roman"/>
        <family val="1"/>
      </rPr>
      <t>177</t>
    </r>
    <r>
      <rPr>
        <sz val="10"/>
        <color theme="1"/>
        <rFont val="Times New Roman"/>
        <family val="1"/>
      </rPr>
      <t>Hf)</t>
    </r>
    <r>
      <rPr>
        <vertAlign val="subscript"/>
        <sz val="10"/>
        <color theme="1"/>
        <rFont val="Times New Roman"/>
        <family val="1"/>
      </rPr>
      <t>c</t>
    </r>
    <r>
      <rPr>
        <sz val="10"/>
        <color theme="1"/>
        <rFont val="Times New Roman"/>
        <family val="1"/>
      </rPr>
      <t xml:space="preserve"> −(</t>
    </r>
    <r>
      <rPr>
        <vertAlign val="superscript"/>
        <sz val="10"/>
        <color theme="1"/>
        <rFont val="Times New Roman"/>
        <family val="1"/>
      </rPr>
      <t>176</t>
    </r>
    <r>
      <rPr>
        <sz val="10"/>
        <color theme="1"/>
        <rFont val="Times New Roman"/>
        <family val="1"/>
      </rPr>
      <t>Lu/</t>
    </r>
    <r>
      <rPr>
        <vertAlign val="superscript"/>
        <sz val="10"/>
        <color theme="1"/>
        <rFont val="Times New Roman"/>
        <family val="1"/>
      </rPr>
      <t>177</t>
    </r>
    <r>
      <rPr>
        <sz val="10"/>
        <color theme="1"/>
        <rFont val="Times New Roman"/>
        <family val="1"/>
      </rPr>
      <t>Hf)</t>
    </r>
    <r>
      <rPr>
        <vertAlign val="subscript"/>
        <sz val="10"/>
        <color theme="1"/>
        <rFont val="Times New Roman"/>
        <family val="1"/>
      </rPr>
      <t>DM</t>
    </r>
    <r>
      <rPr>
        <sz val="10"/>
        <color theme="1"/>
        <rFont val="Times New Roman"/>
        <family val="1"/>
      </rPr>
      <t>]}+t;</t>
    </r>
  </si>
  <si>
    <r>
      <t>f</t>
    </r>
    <r>
      <rPr>
        <vertAlign val="subscript"/>
        <sz val="10"/>
        <color theme="1"/>
        <rFont val="Times New Roman"/>
        <family val="1"/>
      </rPr>
      <t>Lu/Hf=</t>
    </r>
    <r>
      <rPr>
        <sz val="10"/>
        <color theme="1"/>
        <rFont val="Times New Roman"/>
        <family val="1"/>
      </rPr>
      <t>(</t>
    </r>
    <r>
      <rPr>
        <vertAlign val="superscript"/>
        <sz val="10"/>
        <color theme="1"/>
        <rFont val="Times New Roman"/>
        <family val="1"/>
      </rPr>
      <t>176</t>
    </r>
    <r>
      <rPr>
        <sz val="10"/>
        <color theme="1"/>
        <rFont val="Times New Roman"/>
        <family val="1"/>
      </rPr>
      <t>Lu/</t>
    </r>
    <r>
      <rPr>
        <vertAlign val="superscript"/>
        <sz val="10"/>
        <color theme="1"/>
        <rFont val="Times New Roman"/>
        <family val="1"/>
      </rPr>
      <t xml:space="preserve"> 177</t>
    </r>
    <r>
      <rPr>
        <sz val="10"/>
        <color theme="1"/>
        <rFont val="Times New Roman"/>
        <family val="1"/>
      </rPr>
      <t>Hf)</t>
    </r>
    <r>
      <rPr>
        <vertAlign val="subscript"/>
        <sz val="10"/>
        <color theme="1"/>
        <rFont val="Times New Roman"/>
        <family val="1"/>
      </rPr>
      <t>S</t>
    </r>
    <r>
      <rPr>
        <sz val="10"/>
        <color theme="1"/>
        <rFont val="Times New Roman"/>
        <family val="1"/>
      </rPr>
      <t xml:space="preserve"> /( </t>
    </r>
    <r>
      <rPr>
        <vertAlign val="superscript"/>
        <sz val="10"/>
        <color theme="1"/>
        <rFont val="Times New Roman"/>
        <family val="1"/>
      </rPr>
      <t>176</t>
    </r>
    <r>
      <rPr>
        <sz val="10"/>
        <color theme="1"/>
        <rFont val="Times New Roman"/>
        <family val="1"/>
      </rPr>
      <t>Lu/</t>
    </r>
    <r>
      <rPr>
        <vertAlign val="superscript"/>
        <sz val="10"/>
        <color theme="1"/>
        <rFont val="Times New Roman"/>
        <family val="1"/>
      </rPr>
      <t>177</t>
    </r>
    <r>
      <rPr>
        <sz val="10"/>
        <color theme="1"/>
        <rFont val="Times New Roman"/>
        <family val="1"/>
      </rPr>
      <t>Hf)</t>
    </r>
    <r>
      <rPr>
        <vertAlign val="subscript"/>
        <sz val="10"/>
        <color theme="1"/>
        <rFont val="Times New Roman"/>
        <family val="1"/>
      </rPr>
      <t>CHUR</t>
    </r>
    <r>
      <rPr>
        <sz val="10"/>
        <color theme="1"/>
        <rFont val="Times New Roman"/>
        <family val="1"/>
      </rPr>
      <t>-1.</t>
    </r>
  </si>
  <si>
    <r>
      <rPr>
        <b/>
        <sz val="10"/>
        <color theme="1"/>
        <rFont val="Times New Roman"/>
        <family val="1"/>
      </rPr>
      <t>Note:</t>
    </r>
    <r>
      <rPr>
        <sz val="10"/>
        <color theme="1"/>
        <rFont val="Times New Roman"/>
        <family val="1"/>
      </rPr>
      <t xml:space="preserve"> LOI, loss on ignition; Mg# = 100Mg/(Mg+Fe</t>
    </r>
    <r>
      <rPr>
        <vertAlign val="subscript"/>
        <sz val="10"/>
        <color theme="1"/>
        <rFont val="Times New Roman"/>
        <family val="1"/>
      </rPr>
      <t>total</t>
    </r>
    <r>
      <rPr>
        <sz val="10"/>
        <color theme="1"/>
        <rFont val="Times New Roman"/>
        <family val="1"/>
      </rPr>
      <t xml:space="preserve">) in atomic ratio; TREE, total rare earth elements; HREE (La-Lu), heavy rare earth elements (Ho-Lu); Subscript N - chondrite;  Subscript PM - Primitive Mantle normalized value; -: untested. </t>
    </r>
    <phoneticPr fontId="16" type="noConversion"/>
  </si>
  <si>
    <r>
      <t>FeO</t>
    </r>
    <r>
      <rPr>
        <vertAlign val="subscript"/>
        <sz val="10"/>
        <color rgb="FF000000"/>
        <rFont val="Times New Roman"/>
        <family val="1"/>
      </rPr>
      <t>T</t>
    </r>
    <r>
      <rPr>
        <sz val="10"/>
        <color indexed="8"/>
        <rFont val="Times New Roman"/>
        <family val="1"/>
      </rPr>
      <t>/MnO</t>
    </r>
    <phoneticPr fontId="16" type="noConversion"/>
  </si>
  <si>
    <r>
      <t>FeO</t>
    </r>
    <r>
      <rPr>
        <vertAlign val="subscript"/>
        <sz val="10"/>
        <color theme="1"/>
        <rFont val="Times New Roman"/>
        <family val="1"/>
      </rPr>
      <t>T</t>
    </r>
    <r>
      <rPr>
        <sz val="10"/>
        <color theme="1"/>
        <rFont val="Times New Roman"/>
        <family val="1"/>
      </rPr>
      <t>/MnO</t>
    </r>
    <phoneticPr fontId="16" type="noConversion"/>
  </si>
  <si>
    <t>Calculation results after pressure correction (Aulbach ans Stagno, 2016)</t>
    <phoneticPr fontId="16" type="noConversion"/>
  </si>
  <si>
    <r>
      <rPr>
        <i/>
        <sz val="10"/>
        <color theme="1"/>
        <rFont val="Times New Roman"/>
        <family val="1"/>
      </rPr>
      <t>f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(V-Ti) </t>
    </r>
    <phoneticPr fontId="16" type="noConversion"/>
  </si>
  <si>
    <r>
      <rPr>
        <i/>
        <sz val="10"/>
        <color theme="1"/>
        <rFont val="Times New Roman"/>
        <family val="1"/>
      </rPr>
      <t>f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(V-Ti) corrected to 1 Gpa</t>
    </r>
    <phoneticPr fontId="16" type="noConversion"/>
  </si>
  <si>
    <r>
      <rPr>
        <i/>
        <sz val="10"/>
        <color theme="1"/>
        <rFont val="Times New Roman"/>
        <family val="1"/>
      </rPr>
      <t>f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(V-Sc) corrected to 1 Gpa</t>
    </r>
    <phoneticPr fontId="16" type="noConversion"/>
  </si>
  <si>
    <r>
      <rPr>
        <i/>
        <sz val="10"/>
        <color theme="1"/>
        <rFont val="Times New Roman"/>
        <family val="1"/>
      </rPr>
      <t>f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(V-Sc) </t>
    </r>
    <phoneticPr fontId="16" type="noConversion"/>
  </si>
  <si>
    <r>
      <rPr>
        <i/>
        <sz val="10"/>
        <color theme="1"/>
        <rFont val="Times New Roman"/>
        <family val="1"/>
      </rPr>
      <t>f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 xml:space="preserve">2 </t>
    </r>
    <r>
      <rPr>
        <sz val="10"/>
        <color theme="1"/>
        <rFont val="Times New Roman"/>
        <family val="1"/>
      </rPr>
      <t>(V-Sc) corrected to 1 Gpa</t>
    </r>
    <phoneticPr fontId="16" type="noConversion"/>
  </si>
  <si>
    <r>
      <rPr>
        <i/>
        <sz val="10"/>
        <color theme="1"/>
        <rFont val="Times New Roman"/>
        <family val="1"/>
      </rPr>
      <t>f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 xml:space="preserve">2 </t>
    </r>
    <r>
      <rPr>
        <sz val="10"/>
        <color theme="1"/>
        <rFont val="Times New Roman"/>
        <family val="1"/>
      </rPr>
      <t>(V-Sc)</t>
    </r>
    <phoneticPr fontId="16" type="noConversion"/>
  </si>
  <si>
    <t>Wang, X., Zhu, W.B., Zheng, Y.F., 2022. Geochemical constraints on the nature of Late Archean basaltic-andesitic magmatism in the North China Craton. Earth-Science Reviews, 230, 104065.</t>
    <phoneticPr fontId="16" type="noConversion"/>
  </si>
  <si>
    <t>Zhao, L., Zou, Y., Liu, P., Sun, W., Zhang, R., Zhou, L.,  Zhai, M., 2023. An early Precambrian “orogenic belt” exhumed by the Phanerozoic tectonic events: A case study of the eastern North China Craton. Earth-Science Reviews, 241, 104416.</t>
    <phoneticPr fontId="16" type="noConversion"/>
  </si>
  <si>
    <t>Nutman, A.P., Bennett, V.C., Friend, C.R.L., 2015. The emergence of the Eoarchaean proto-arc evolution of a ca. 3700 Ma convergent plate boundary at Isua, southern West Greenland. In: Roberts, N.M.W., van Kranendonk, M., Parman, S., Shirey, S., Clift, P.D. (eds.). Continent Formation Through Time. Geological Society, London, Special Publications 389, 113-133.</t>
    <phoneticPr fontId="16" type="noConversion"/>
  </si>
  <si>
    <t>Supplementary Table 6. Compiled literature data of Eo-to Archean boninitic rocks with calculated themodynamic modelling and mantle oxygen fugacity results</t>
    <phoneticPr fontId="16" type="noConversion"/>
  </si>
  <si>
    <t>Boninites and fractionated equivalents</t>
    <phoneticPr fontId="16" type="noConversion"/>
  </si>
  <si>
    <t>Lithological association</t>
    <phoneticPr fontId="16" type="noConversion"/>
  </si>
  <si>
    <t>Boninites, tholeiitic, calc-alkaline volcanics, Nb-enriched basalts, adakites</t>
    <phoneticPr fontId="16" type="noConversion"/>
  </si>
  <si>
    <t>Boninitic basalts, tholeiites, high-Mg tholeiites</t>
    <phoneticPr fontId="16" type="noConversion"/>
  </si>
  <si>
    <t>Boninites, komatiites, tholeiitic basalts</t>
    <phoneticPr fontId="16" type="noConversion"/>
  </si>
  <si>
    <t>Plume-arc interaction</t>
  </si>
  <si>
    <t>Overthrusting picritic-boninitic and  island-arc tholeiite bearing nappes</t>
    <phoneticPr fontId="16" type="noConversion"/>
  </si>
  <si>
    <t>Boninite, coeval high-Mg andesites, sanukitoids and hydrous mafic intrusions</t>
    <phoneticPr fontId="16" type="noConversion"/>
  </si>
  <si>
    <t xml:space="preserve">Boninite, gabbros, andesites, diorites and mafic tonalites, intermediate-felsic volcanic and sedimentary rocks </t>
    <phoneticPr fontId="16" type="noConversion"/>
  </si>
  <si>
    <t>Manikyamba, C., Naqvi, S.M., Rao, D.S., Mohan, M.R., Khanna, T.C., Rao, T.G., Reddy, G.L.N., 2005. Boninites from the Neoarchaean Gadwal greenstone belt, Eastern Dharwar craton, India: implications for Archaean subduction processes. Earth and Planetary Science Letters 230(1-2), 65-83.</t>
  </si>
  <si>
    <t>G24</t>
  </si>
  <si>
    <t>G26</t>
  </si>
  <si>
    <t>G41</t>
  </si>
  <si>
    <t>G45</t>
  </si>
  <si>
    <t>Srivastava, R.K., Singh, R.K., Verma, S.P., 2004. Neoarchaean mafic volcanic rocks from the southern Bastar greenstone belt, Central India: petrological and tectonic significance. Precambrian Research 131, 305-322.</t>
  </si>
  <si>
    <t>93/279</t>
  </si>
  <si>
    <t>93/282</t>
  </si>
  <si>
    <t>97/161</t>
  </si>
  <si>
    <t>97/183</t>
  </si>
  <si>
    <t>Boninite, high- and low-Mg contents of the tholeiites</t>
    <phoneticPr fontId="16" type="noConversion"/>
  </si>
  <si>
    <t xml:space="preserve">Boninite, sub-alkaline basalt, basaltic
andesite </t>
  </si>
  <si>
    <t xml:space="preserve">Boninite, sub-alkaline basalt, basaltic
andesite </t>
    <phoneticPr fontId="16" type="noConversion"/>
  </si>
  <si>
    <t>Island-arc tectonic setting</t>
  </si>
  <si>
    <t>Island-arc tectonic setting</t>
    <phoneticPr fontId="16" type="noConversion"/>
  </si>
  <si>
    <t>Manikyamba, C., Naqvi, S.M., Rao, D.S., Mohan, M.R., Khanna, T.C., Rao, T.G., Reddy, G.L.N., 2005. Boninites from the Neoarchaean Gadwal greenstone belt, Eastern Dharwar craton, India: implications for Archaean subduction processes. Earth and Planetary Science Letters 230(1-2), 65-83.</t>
    <phoneticPr fontId="16" type="noConversion"/>
  </si>
  <si>
    <t>Dharwar</t>
    <phoneticPr fontId="16" type="noConversion"/>
  </si>
  <si>
    <t>Craton</t>
    <phoneticPr fontId="16" type="noConversion"/>
  </si>
  <si>
    <t>Boninites, low Ti island arc tholeiites, fractionated sub-alkaline basalts and basaltic andesites</t>
    <phoneticPr fontId="16" type="noConversion"/>
  </si>
  <si>
    <t>Boninite, island arc tholeiite and calc-alkaline andesite</t>
    <phoneticPr fontId="16" type="noConversion"/>
  </si>
  <si>
    <t>This study</t>
    <phoneticPr fontId="16" type="noConversion"/>
  </si>
  <si>
    <t>Subduction zone</t>
    <phoneticPr fontId="16" type="noConversion"/>
  </si>
  <si>
    <t>Guo, R.R., Li, Z.H., Liu, S.W., Wang, M.J., Bao, H., Wang, W., Huang, X., Dou, Y.X., 2022. Late Neoarchean geodynamic regime of the northeastern North China Craton: Constraints from metamorphosed volcanic rocks of the Anshan-Benxi greenstone belt. Precambrian Research 371, 106583.</t>
    <phoneticPr fontId="27" type="noConversion"/>
  </si>
  <si>
    <t>Tholeiites, tholeiitic to calc-alkaline basalts, andesite, and dacite-rhyolite</t>
    <phoneticPr fontId="16" type="noConversion"/>
  </si>
  <si>
    <t>Wang, X., Zhu, W.B. and Zheng, Y.F., 2022. Geochemical constraints on the nature of Late Archean basaltic-andesitic magmatism in the North China Craton. Earth-Science Reviews, 230, p.104065.</t>
  </si>
  <si>
    <t>18LBB17-1</t>
  </si>
  <si>
    <t>23LB05-1</t>
  </si>
  <si>
    <t>Boninite and tholeiitic rock</t>
    <phoneticPr fontId="16" type="noConversion"/>
  </si>
  <si>
    <t>Subduction under a continental margin arc system</t>
    <phoneticPr fontId="16" type="noConversion"/>
  </si>
  <si>
    <t>Boninite</t>
    <phoneticPr fontId="16" type="noConversion"/>
  </si>
  <si>
    <t>Boninitic rock</t>
    <phoneticPr fontId="16" type="noConversion"/>
  </si>
  <si>
    <t>-</t>
  </si>
  <si>
    <t>Gao et al., 2025. Convergence of two ancient continental nuclei induced by late Neoarchean multiple subduction systems. GSA Bulletin.</t>
    <phoneticPr fontId="16" type="noConversion"/>
  </si>
  <si>
    <t>Ti (ppm)</t>
    <phoneticPr fontId="16" type="noConversion"/>
  </si>
  <si>
    <r>
      <t>Fe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3T</t>
    </r>
    <phoneticPr fontId="16" type="noConversion"/>
  </si>
  <si>
    <r>
      <t>SiO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(wt.%)</t>
    </r>
    <phoneticPr fontId="16" type="noConversion"/>
  </si>
  <si>
    <t>High-Mg basalt, tholeiitic basalt, calc-alkaline andesite, dolerite, dacite and rhyolite</t>
    <phoneticPr fontId="16" type="noConversion"/>
  </si>
  <si>
    <t>Boninite, tholeiitic rock and calc-alkaline andesite</t>
    <phoneticPr fontId="16" type="noConversion"/>
  </si>
  <si>
    <t>Sample</t>
    <phoneticPr fontId="16" type="noConversion"/>
  </si>
  <si>
    <t>18QX41-1</t>
    <phoneticPr fontId="16" type="noConversion"/>
  </si>
  <si>
    <t>1259±40</t>
    <phoneticPr fontId="16" type="noConversion"/>
  </si>
  <si>
    <t>1.44±0.33</t>
    <phoneticPr fontId="16" type="noConversion"/>
  </si>
  <si>
    <t>-0.35±0.32</t>
    <phoneticPr fontId="16" type="noConversion"/>
  </si>
  <si>
    <t>-0.17±0.32</t>
    <phoneticPr fontId="16" type="noConversion"/>
  </si>
  <si>
    <t>-0.46±0.32</t>
    <phoneticPr fontId="16" type="noConversion"/>
  </si>
  <si>
    <t>-0.28±0.32</t>
    <phoneticPr fontId="16" type="noConversion"/>
  </si>
  <si>
    <r>
      <t>Fe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  <r>
      <rPr>
        <vertAlign val="subscript"/>
        <sz val="10"/>
        <color theme="1"/>
        <rFont val="Times New Roman"/>
        <family val="1"/>
      </rPr>
      <t>3</t>
    </r>
    <phoneticPr fontId="16" type="noConversion"/>
  </si>
  <si>
    <t>Boninites, transitional tholeiites, magnesian tholeiites, ferrotholeiites and minor occurrences of calc-alkalic basaltic to andesitic flows</t>
    <phoneticPr fontId="16" type="noConversion"/>
  </si>
  <si>
    <t>Whundo boninite</t>
    <phoneticPr fontId="16" type="noConversion"/>
  </si>
  <si>
    <t>Bastar</t>
    <phoneticPr fontId="16" type="noConversion"/>
  </si>
  <si>
    <t>Manikyamba, C., Naqvi, S.M., Rao, D.S., Mohan, M.R., Khanna, T.C., Rao, T.G., Reddy, G.L.N., 2005. Boninites from the Neoarchaean Gadwal greenstone belt, Eastern Dharwar craton, India: implications for Archaean subduction processes. Earth and Planetary Science Letters 230(1-2), 65-83.</t>
    <phoneticPr fontId="16" type="noConversion"/>
  </si>
  <si>
    <t>18QX11-1</t>
    <phoneticPr fontId="16" type="noConversion"/>
  </si>
  <si>
    <t>17QX08-2</t>
    <phoneticPr fontId="16" type="noConversion"/>
  </si>
  <si>
    <t>17QX33-1</t>
    <phoneticPr fontId="16" type="noConversion"/>
  </si>
  <si>
    <t>17QX87-1</t>
    <phoneticPr fontId="16" type="noConversion"/>
  </si>
  <si>
    <t>18QX30-1</t>
    <phoneticPr fontId="16" type="noConversion"/>
  </si>
  <si>
    <t>18QX43-1</t>
    <phoneticPr fontId="16" type="noConversion"/>
  </si>
  <si>
    <t>17QX58-2</t>
    <phoneticPr fontId="16" type="noConversion"/>
  </si>
  <si>
    <t>17QX59-2</t>
    <phoneticPr fontId="16" type="noConversion"/>
  </si>
  <si>
    <t>18QX27-1</t>
    <phoneticPr fontId="16" type="noConversion"/>
  </si>
  <si>
    <t>18QX27-4</t>
    <phoneticPr fontId="16" type="noConversion"/>
  </si>
  <si>
    <t>18QX27-5</t>
    <phoneticPr fontId="16" type="noConversion"/>
  </si>
  <si>
    <t>18QX27-6</t>
    <phoneticPr fontId="16" type="noConversion"/>
  </si>
  <si>
    <t>17QX51-1</t>
    <phoneticPr fontId="16" type="noConversion"/>
  </si>
  <si>
    <t>17QX54-1</t>
    <phoneticPr fontId="16" type="noConversion"/>
  </si>
  <si>
    <t>17QX55-1</t>
    <phoneticPr fontId="16" type="noConversion"/>
  </si>
  <si>
    <t>17QX90-1</t>
    <phoneticPr fontId="16" type="noConversion"/>
  </si>
  <si>
    <t>17QX96-1</t>
    <phoneticPr fontId="16" type="noConversion"/>
  </si>
  <si>
    <t>17QX97-1</t>
    <phoneticPr fontId="16" type="noConversion"/>
  </si>
  <si>
    <t>18QX56-1</t>
    <phoneticPr fontId="16" type="noConversion"/>
  </si>
  <si>
    <t>17QX89-1</t>
    <phoneticPr fontId="16" type="noConversion"/>
  </si>
  <si>
    <t>17QX53-1</t>
    <phoneticPr fontId="16" type="noConversion"/>
  </si>
  <si>
    <t>17QX53-2</t>
    <phoneticPr fontId="16" type="noConversion"/>
  </si>
  <si>
    <t>17QX57-2</t>
    <phoneticPr fontId="16" type="noConversion"/>
  </si>
  <si>
    <t>17QX39-1</t>
    <phoneticPr fontId="16" type="noConversion"/>
  </si>
  <si>
    <t>17QX35-1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</si>
</sst>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_);[Red]\(0.00\)"/>
    <numFmt numFmtId="177" formatCode="0.00_ "/>
    <numFmt numFmtId="178" formatCode="0.000000_ "/>
    <numFmt numFmtId="179" formatCode="0.0_ "/>
    <numFmt numFmtId="180" formatCode="0_ "/>
    <numFmt numFmtId="181" formatCode="0_);[Red]\(0\)"/>
    <numFmt numFmtId="182" formatCode="0.00000_);[Red]\(0.00000\)"/>
    <numFmt numFmtId="183" formatCode="0.00000_ "/>
  </numFmts>
  <fonts count="29">
    <font>
      <sz val="12"/>
      <color theme="1"/>
      <name val="等线"/>
      <charset val="134"/>
      <scheme val="minor"/>
    </font>
    <font>
      <b/>
      <sz val="10"/>
      <color indexed="8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color theme="1"/>
      <name val="宋体"/>
      <family val="3"/>
      <charset val="134"/>
    </font>
    <font>
      <b/>
      <sz val="10"/>
      <color theme="1"/>
      <name val="Times New Roman"/>
      <family val="1"/>
    </font>
    <font>
      <b/>
      <vertAlign val="superscript"/>
      <sz val="10"/>
      <color theme="1"/>
      <name val="Times New Roman"/>
      <family val="1"/>
    </font>
    <font>
      <sz val="10"/>
      <color indexed="8"/>
      <name val="Times New Roman"/>
      <family val="1"/>
    </font>
    <font>
      <sz val="9"/>
      <name val="Times New Roman"/>
      <family val="1"/>
    </font>
    <font>
      <sz val="10"/>
      <name val="Verdana"/>
      <family val="2"/>
    </font>
    <font>
      <sz val="12"/>
      <name val="宋体"/>
      <family val="3"/>
      <charset val="134"/>
    </font>
    <font>
      <sz val="11"/>
      <color indexed="8"/>
      <name val="等线"/>
      <family val="4"/>
      <charset val="134"/>
    </font>
    <font>
      <vertAlign val="subscript"/>
      <sz val="10"/>
      <name val="Times New Roman"/>
      <family val="1"/>
    </font>
    <font>
      <b/>
      <vertAlign val="subscript"/>
      <sz val="10"/>
      <color theme="1"/>
      <name val="Times New Roman"/>
      <family val="1"/>
    </font>
    <font>
      <sz val="12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b/>
      <u/>
      <sz val="10"/>
      <color theme="1"/>
      <name val="Times New Roman"/>
      <family val="1"/>
    </font>
    <font>
      <u/>
      <sz val="10"/>
      <color theme="1"/>
      <name val="Times New Roman"/>
      <family val="1"/>
    </font>
    <font>
      <i/>
      <sz val="10"/>
      <color theme="1"/>
      <name val="Times New Roman"/>
      <family val="1"/>
    </font>
    <font>
      <vertAlign val="subscript"/>
      <sz val="10"/>
      <color theme="1"/>
      <name val="Times New Roman"/>
      <family val="1"/>
    </font>
    <font>
      <sz val="10"/>
      <color theme="1"/>
      <name val="Arial Regular"/>
    </font>
    <font>
      <sz val="10"/>
      <color theme="1"/>
      <name val="等线"/>
      <family val="4"/>
      <charset val="134"/>
      <scheme val="minor"/>
    </font>
    <font>
      <vertAlign val="subscript"/>
      <sz val="10"/>
      <color rgb="FF000000"/>
      <name val="Times New Roman"/>
      <family val="1"/>
    </font>
    <font>
      <sz val="10"/>
      <color theme="1"/>
      <name val="等线"/>
      <family val="2"/>
      <scheme val="minor"/>
    </font>
    <font>
      <vertAlign val="superscript"/>
      <sz val="10"/>
      <color theme="1"/>
      <name val="Times New Roman"/>
      <family val="1"/>
    </font>
    <font>
      <u/>
      <sz val="10"/>
      <color theme="1"/>
      <name val="等线"/>
      <family val="4"/>
      <charset val="134"/>
      <scheme val="minor"/>
    </font>
    <font>
      <sz val="9"/>
      <name val="等线"/>
      <family val="3"/>
      <charset val="134"/>
      <scheme val="minor"/>
    </font>
    <font>
      <sz val="10"/>
      <color rgb="FFFF0000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rgb="FF002060"/>
      </bottom>
      <diagonal/>
    </border>
    <border>
      <left/>
      <right/>
      <top style="thick">
        <color rgb="FF002060"/>
      </top>
      <bottom/>
      <diagonal/>
    </border>
  </borders>
  <cellStyleXfs count="9">
    <xf numFmtId="0" fontId="0" fillId="0" borderId="0">
      <alignment vertical="center"/>
    </xf>
    <xf numFmtId="0" fontId="15" fillId="2" borderId="3" applyNumberFormat="0" applyFont="0" applyAlignment="0" applyProtection="0">
      <alignment vertical="center"/>
    </xf>
    <xf numFmtId="0" fontId="10" fillId="0" borderId="0"/>
    <xf numFmtId="0" fontId="4" fillId="0" borderId="0"/>
    <xf numFmtId="0" fontId="11" fillId="0" borderId="0"/>
    <xf numFmtId="0" fontId="9" fillId="0" borderId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11" fillId="0" borderId="0"/>
  </cellStyleXfs>
  <cellXfs count="13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/>
    <xf numFmtId="176" fontId="3" fillId="0" borderId="0" xfId="6" applyNumberFormat="1" applyFont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1" xfId="0" applyFont="1" applyBorder="1">
      <alignment vertical="center"/>
    </xf>
    <xf numFmtId="177" fontId="2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178" fontId="7" fillId="0" borderId="4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 wrapText="1"/>
    </xf>
    <xf numFmtId="0" fontId="17" fillId="0" borderId="0" xfId="0" applyFont="1">
      <alignment vertical="center"/>
    </xf>
    <xf numFmtId="0" fontId="1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8" fillId="0" borderId="0" xfId="0" applyFont="1" applyAlignment="1"/>
    <xf numFmtId="0" fontId="17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178" fontId="17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>
      <alignment vertical="center"/>
    </xf>
    <xf numFmtId="176" fontId="2" fillId="0" borderId="0" xfId="0" applyNumberFormat="1" applyFont="1" applyAlignment="1">
      <alignment horizontal="left" vertical="center"/>
    </xf>
    <xf numFmtId="178" fontId="17" fillId="0" borderId="0" xfId="0" applyNumberFormat="1" applyFont="1">
      <alignment vertical="center"/>
    </xf>
    <xf numFmtId="176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182" fontId="2" fillId="0" borderId="0" xfId="0" applyNumberFormat="1" applyFont="1" applyAlignment="1">
      <alignment horizontal="center" vertical="center" wrapText="1"/>
    </xf>
    <xf numFmtId="183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82" fontId="2" fillId="0" borderId="1" xfId="0" applyNumberFormat="1" applyFont="1" applyBorder="1" applyAlignment="1">
      <alignment horizontal="center" vertical="center" wrapText="1"/>
    </xf>
    <xf numFmtId="183" fontId="2" fillId="0" borderId="1" xfId="0" applyNumberFormat="1" applyFont="1" applyBorder="1" applyAlignment="1">
      <alignment horizontal="center" vertical="center" wrapText="1"/>
    </xf>
    <xf numFmtId="0" fontId="3" fillId="0" borderId="0" xfId="8" applyFont="1" applyAlignment="1">
      <alignment horizontal="center"/>
    </xf>
    <xf numFmtId="179" fontId="3" fillId="0" borderId="0" xfId="4" applyNumberFormat="1" applyFont="1" applyAlignment="1">
      <alignment horizontal="center" vertical="center"/>
    </xf>
    <xf numFmtId="179" fontId="3" fillId="0" borderId="1" xfId="4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76" fontId="2" fillId="0" borderId="0" xfId="0" quotePrefix="1" applyNumberFormat="1" applyFont="1" applyAlignment="1">
      <alignment horizontal="center" vertical="center"/>
    </xf>
    <xf numFmtId="177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22" fillId="0" borderId="0" xfId="0" applyFont="1">
      <alignment vertical="center"/>
    </xf>
    <xf numFmtId="176" fontId="8" fillId="0" borderId="0" xfId="5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76" fontId="2" fillId="0" borderId="0" xfId="0" applyNumberFormat="1" applyFont="1" applyAlignment="1">
      <alignment horizontal="left"/>
    </xf>
    <xf numFmtId="0" fontId="6" fillId="0" borderId="0" xfId="0" applyFont="1" applyAlignment="1"/>
    <xf numFmtId="176" fontId="2" fillId="0" borderId="0" xfId="0" applyNumberFormat="1" applyFont="1" applyAlignment="1"/>
    <xf numFmtId="176" fontId="22" fillId="0" borderId="0" xfId="0" applyNumberFormat="1" applyFont="1">
      <alignment vertical="center"/>
    </xf>
    <xf numFmtId="178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178" fontId="2" fillId="0" borderId="0" xfId="1" applyNumberFormat="1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78" fontId="2" fillId="0" borderId="0" xfId="0" applyNumberFormat="1" applyFont="1">
      <alignment vertical="center"/>
    </xf>
    <xf numFmtId="0" fontId="26" fillId="0" borderId="0" xfId="0" applyFont="1">
      <alignment vertical="center"/>
    </xf>
    <xf numFmtId="0" fontId="22" fillId="0" borderId="1" xfId="0" applyFont="1" applyBorder="1">
      <alignment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3" fillId="0" borderId="0" xfId="6" applyFont="1" applyAlignment="1">
      <alignment horizontal="center" vertical="center"/>
    </xf>
    <xf numFmtId="0" fontId="3" fillId="0" borderId="6" xfId="6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0" xfId="6" applyFont="1" applyAlignment="1">
      <alignment horizontal="center" vertical="center"/>
    </xf>
    <xf numFmtId="176" fontId="8" fillId="0" borderId="5" xfId="5" applyNumberFormat="1" applyFont="1" applyBorder="1" applyAlignment="1">
      <alignment horizontal="center" vertical="center"/>
    </xf>
    <xf numFmtId="176" fontId="8" fillId="0" borderId="5" xfId="5" applyNumberFormat="1" applyFont="1" applyBorder="1">
      <alignment vertical="center"/>
    </xf>
    <xf numFmtId="176" fontId="2" fillId="0" borderId="5" xfId="5" applyNumberFormat="1" applyFont="1" applyBorder="1" applyAlignment="1">
      <alignment horizontal="center" vertical="center"/>
    </xf>
    <xf numFmtId="177" fontId="2" fillId="0" borderId="0" xfId="7" applyNumberFormat="1" applyFont="1" applyAlignment="1">
      <alignment horizontal="center" vertical="center"/>
    </xf>
    <xf numFmtId="177" fontId="3" fillId="0" borderId="0" xfId="7" applyNumberFormat="1" applyFont="1" applyAlignment="1">
      <alignment horizontal="center" vertical="center"/>
    </xf>
    <xf numFmtId="177" fontId="8" fillId="0" borderId="0" xfId="5" applyNumberFormat="1" applyFont="1" applyAlignment="1">
      <alignment horizontal="center" vertical="center"/>
    </xf>
    <xf numFmtId="177" fontId="2" fillId="0" borderId="0" xfId="5" applyNumberFormat="1" applyFont="1" applyAlignment="1">
      <alignment horizontal="center" vertical="center"/>
    </xf>
    <xf numFmtId="176" fontId="2" fillId="0" borderId="0" xfId="7" applyNumberFormat="1" applyFont="1" applyAlignment="1">
      <alignment horizontal="center" vertical="center"/>
    </xf>
    <xf numFmtId="177" fontId="8" fillId="0" borderId="5" xfId="5" applyNumberFormat="1" applyFont="1" applyBorder="1" applyAlignment="1">
      <alignment horizontal="center" vertical="center"/>
    </xf>
    <xf numFmtId="177" fontId="2" fillId="0" borderId="0" xfId="0" applyNumberFormat="1" applyFont="1">
      <alignment vertical="center"/>
    </xf>
    <xf numFmtId="0" fontId="22" fillId="0" borderId="0" xfId="0" applyFont="1" applyAlignment="1"/>
    <xf numFmtId="176" fontId="2" fillId="0" borderId="0" xfId="0" applyNumberFormat="1" applyFont="1">
      <alignment vertical="center"/>
    </xf>
    <xf numFmtId="0" fontId="28" fillId="0" borderId="0" xfId="0" applyFont="1">
      <alignment vertical="center"/>
    </xf>
    <xf numFmtId="176" fontId="2" fillId="0" borderId="0" xfId="6" applyNumberFormat="1" applyFont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8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left" vertical="center"/>
    </xf>
    <xf numFmtId="18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176" fontId="8" fillId="5" borderId="0" xfId="5" applyNumberFormat="1" applyFont="1" applyFill="1" applyAlignment="1">
      <alignment horizontal="center" vertical="center"/>
    </xf>
    <xf numFmtId="181" fontId="8" fillId="0" borderId="6" xfId="5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4" xfId="0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left" vertical="center"/>
    </xf>
    <xf numFmtId="177" fontId="17" fillId="0" borderId="0" xfId="0" applyNumberFormat="1" applyFont="1" applyAlignment="1">
      <alignment horizontal="left" vertical="center"/>
    </xf>
    <xf numFmtId="178" fontId="2" fillId="0" borderId="0" xfId="0" applyNumberFormat="1" applyFont="1" applyAlignment="1">
      <alignment horizontal="center" vertical="center"/>
    </xf>
    <xf numFmtId="178" fontId="6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178" fontId="17" fillId="0" borderId="0" xfId="0" applyNumberFormat="1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" fontId="2" fillId="5" borderId="0" xfId="0" applyNumberFormat="1" applyFont="1" applyFill="1" applyAlignment="1">
      <alignment horizontal="center" vertical="center"/>
    </xf>
    <xf numFmtId="176" fontId="2" fillId="5" borderId="0" xfId="0" applyNumberFormat="1" applyFont="1" applyFill="1" applyAlignment="1">
      <alignment horizontal="center" vertical="center"/>
    </xf>
    <xf numFmtId="181" fontId="2" fillId="5" borderId="0" xfId="0" applyNumberFormat="1" applyFont="1" applyFill="1" applyAlignment="1">
      <alignment horizontal="center" vertical="center"/>
    </xf>
    <xf numFmtId="177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22" fillId="5" borderId="0" xfId="0" applyFont="1" applyFill="1">
      <alignment vertical="center"/>
    </xf>
  </cellXfs>
  <cellStyles count="9">
    <cellStyle name="Normal 2" xfId="2" xr:uid="{00000000-0005-0000-0000-000031000000}"/>
    <cellStyle name="常规" xfId="0" builtinId="0"/>
    <cellStyle name="常规 2" xfId="3" xr:uid="{00000000-0005-0000-0000-000032000000}"/>
    <cellStyle name="常规 4" xfId="4" xr:uid="{00000000-0005-0000-0000-000033000000}"/>
    <cellStyle name="常规_GCATables" xfId="8" xr:uid="{6205CB71-9183-9E42-98A0-BC6110007978}"/>
    <cellStyle name="常规_Sheet1" xfId="5" xr:uid="{00000000-0005-0000-0000-000035000000}"/>
    <cellStyle name="常规_Sheet2" xfId="6" xr:uid="{00000000-0005-0000-0000-000036000000}"/>
    <cellStyle name="常规_主微量" xfId="7" xr:uid="{00000000-0005-0000-0000-000037000000}"/>
    <cellStyle name="注释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B80"/>
  <sheetViews>
    <sheetView zoomScale="119" zoomScaleNormal="110" workbookViewId="0">
      <pane xSplit="1" ySplit="6" topLeftCell="B7" activePane="bottomRight" state="frozen"/>
      <selection pane="topRight"/>
      <selection pane="bottomLeft"/>
      <selection pane="bottomRight" activeCell="J15" sqref="J15"/>
    </sheetView>
  </sheetViews>
  <sheetFormatPr baseColWidth="10" defaultColWidth="10.83203125" defaultRowHeight="13"/>
  <cols>
    <col min="1" max="1" width="10.83203125" style="8"/>
    <col min="2" max="2" width="1" style="8" customWidth="1"/>
    <col min="3" max="6" width="10.83203125" style="8"/>
    <col min="7" max="7" width="1.33203125" style="8" customWidth="1"/>
    <col min="8" max="46" width="10.83203125" style="8"/>
    <col min="47" max="47" width="1.5" style="8" customWidth="1"/>
    <col min="48" max="16384" width="10.83203125" style="8"/>
  </cols>
  <sheetData>
    <row r="1" spans="1:54" s="2" customFormat="1" ht="16.25" customHeight="1" thickBot="1">
      <c r="A1" s="76" t="s">
        <v>168</v>
      </c>
      <c r="B1" s="75"/>
      <c r="C1" s="4"/>
      <c r="D1" s="4"/>
      <c r="E1" s="4"/>
      <c r="F1" s="4"/>
      <c r="G1" s="4"/>
      <c r="H1" s="75"/>
      <c r="I1" s="75"/>
      <c r="J1" s="76"/>
      <c r="N1" s="76"/>
      <c r="O1" s="76"/>
      <c r="P1" s="76"/>
      <c r="R1" s="76"/>
      <c r="S1" s="76"/>
      <c r="T1" s="76"/>
      <c r="U1" s="76"/>
      <c r="V1" s="76"/>
      <c r="Z1" s="76"/>
      <c r="AA1" s="76"/>
      <c r="AB1" s="76"/>
      <c r="AL1" s="76"/>
      <c r="AM1" s="74"/>
      <c r="AO1" s="74"/>
      <c r="AP1" s="74"/>
      <c r="AR1" s="74"/>
      <c r="AS1" s="74"/>
      <c r="AT1" s="74"/>
    </row>
    <row r="2" spans="1:54" ht="12" customHeight="1" thickTop="1">
      <c r="A2" s="77" t="s">
        <v>167</v>
      </c>
      <c r="B2" s="78"/>
      <c r="C2" s="107" t="s">
        <v>178</v>
      </c>
      <c r="D2" s="107"/>
      <c r="E2" s="107"/>
      <c r="F2" s="107"/>
      <c r="G2" s="79"/>
      <c r="H2" s="105" t="s">
        <v>180</v>
      </c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79"/>
      <c r="AV2" s="105" t="s">
        <v>179</v>
      </c>
      <c r="AW2" s="105"/>
      <c r="AX2" s="105"/>
      <c r="AY2" s="105"/>
      <c r="AZ2" s="105"/>
      <c r="BA2" s="105"/>
      <c r="BB2" s="105"/>
    </row>
    <row r="3" spans="1:54">
      <c r="A3" s="55" t="s">
        <v>0</v>
      </c>
      <c r="B3" s="55"/>
      <c r="C3" s="55" t="s">
        <v>24</v>
      </c>
      <c r="D3" s="104" t="s">
        <v>482</v>
      </c>
      <c r="E3" s="104" t="s">
        <v>470</v>
      </c>
      <c r="F3" s="55" t="s">
        <v>27</v>
      </c>
      <c r="G3" s="55"/>
      <c r="H3" s="55" t="s">
        <v>1</v>
      </c>
      <c r="I3" s="104" t="s">
        <v>483</v>
      </c>
      <c r="J3" s="104" t="s">
        <v>484</v>
      </c>
      <c r="K3" s="55" t="s">
        <v>11</v>
      </c>
      <c r="L3" s="55" t="s">
        <v>12</v>
      </c>
      <c r="M3" s="55" t="s">
        <v>13</v>
      </c>
      <c r="N3" s="55" t="s">
        <v>2</v>
      </c>
      <c r="O3" s="55" t="s">
        <v>3</v>
      </c>
      <c r="P3" s="104" t="s">
        <v>485</v>
      </c>
      <c r="Q3" s="55" t="s">
        <v>22</v>
      </c>
      <c r="R3" s="55" t="s">
        <v>5</v>
      </c>
      <c r="S3" s="55" t="s">
        <v>6</v>
      </c>
      <c r="T3" s="104" t="s">
        <v>486</v>
      </c>
      <c r="U3" s="104" t="s">
        <v>487</v>
      </c>
      <c r="V3" s="55" t="s">
        <v>8</v>
      </c>
      <c r="W3" s="55" t="s">
        <v>19</v>
      </c>
      <c r="X3" s="55" t="s">
        <v>20</v>
      </c>
      <c r="Y3" s="55" t="s">
        <v>21</v>
      </c>
      <c r="Z3" s="104" t="s">
        <v>488</v>
      </c>
      <c r="AA3" s="104" t="s">
        <v>489</v>
      </c>
      <c r="AB3" s="104" t="s">
        <v>490</v>
      </c>
      <c r="AC3" s="104" t="s">
        <v>491</v>
      </c>
      <c r="AD3" s="104" t="s">
        <v>492</v>
      </c>
      <c r="AE3" s="104" t="s">
        <v>493</v>
      </c>
      <c r="AF3" s="55" t="s">
        <v>14</v>
      </c>
      <c r="AG3" s="55" t="s">
        <v>15</v>
      </c>
      <c r="AH3" s="55" t="s">
        <v>10</v>
      </c>
      <c r="AI3" s="55" t="s">
        <v>16</v>
      </c>
      <c r="AJ3" s="55" t="s">
        <v>17</v>
      </c>
      <c r="AK3" s="55" t="s">
        <v>18</v>
      </c>
      <c r="AL3" s="55" t="s">
        <v>9</v>
      </c>
      <c r="AM3" s="104" t="s">
        <v>494</v>
      </c>
      <c r="AN3" s="104" t="s">
        <v>495</v>
      </c>
      <c r="AO3" s="104" t="s">
        <v>496</v>
      </c>
      <c r="AP3" s="104" t="s">
        <v>497</v>
      </c>
      <c r="AQ3" s="104" t="s">
        <v>498</v>
      </c>
      <c r="AR3" s="104" t="s">
        <v>499</v>
      </c>
      <c r="AS3" s="104" t="s">
        <v>500</v>
      </c>
      <c r="AT3" s="104" t="s">
        <v>501</v>
      </c>
      <c r="AU3" s="55"/>
      <c r="AV3" s="104" t="s">
        <v>505</v>
      </c>
      <c r="AW3" s="104" t="s">
        <v>506</v>
      </c>
      <c r="AX3" s="104" t="s">
        <v>192</v>
      </c>
      <c r="AY3" s="104" t="s">
        <v>256</v>
      </c>
      <c r="AZ3" s="104" t="s">
        <v>502</v>
      </c>
      <c r="BA3" s="104" t="s">
        <v>503</v>
      </c>
      <c r="BB3" s="104" t="s">
        <v>504</v>
      </c>
    </row>
    <row r="4" spans="1:54">
      <c r="A4" s="80" t="s">
        <v>140</v>
      </c>
      <c r="B4" s="77"/>
      <c r="E4" s="2"/>
      <c r="F4" s="2">
        <v>2606</v>
      </c>
      <c r="H4" s="77"/>
      <c r="I4" s="77"/>
      <c r="J4" s="77"/>
      <c r="M4" s="77"/>
      <c r="N4" s="77"/>
      <c r="O4" s="77"/>
      <c r="P4" s="77"/>
      <c r="Q4" s="77"/>
      <c r="R4" s="77">
        <v>2506</v>
      </c>
      <c r="S4" s="77"/>
      <c r="T4" s="77"/>
      <c r="U4" s="77"/>
      <c r="V4" s="77"/>
      <c r="W4" s="77">
        <v>2544</v>
      </c>
      <c r="X4" s="77"/>
      <c r="Y4" s="77"/>
      <c r="Z4" s="77"/>
      <c r="AA4" s="77"/>
      <c r="AB4" s="77"/>
      <c r="AC4" s="77"/>
      <c r="AD4" s="77"/>
      <c r="AE4" s="77"/>
      <c r="AF4" s="77"/>
      <c r="AG4" s="77"/>
      <c r="AI4" s="77"/>
      <c r="AJ4" s="77"/>
      <c r="AK4" s="77"/>
      <c r="AL4" s="77"/>
      <c r="AM4" s="77"/>
      <c r="AN4" s="2">
        <v>2511</v>
      </c>
      <c r="AO4" s="77"/>
      <c r="AP4" s="77">
        <v>2549</v>
      </c>
      <c r="AQ4" s="77"/>
      <c r="AR4" s="77"/>
      <c r="AS4" s="77"/>
      <c r="AT4" s="77"/>
      <c r="AU4" s="77"/>
      <c r="AX4" s="2">
        <v>2503</v>
      </c>
      <c r="AY4" s="2"/>
      <c r="BB4" s="2">
        <v>2526</v>
      </c>
    </row>
    <row r="5" spans="1:54">
      <c r="A5" s="80" t="s">
        <v>28</v>
      </c>
      <c r="B5" s="77"/>
      <c r="C5" s="106" t="s">
        <v>173</v>
      </c>
      <c r="D5" s="106"/>
      <c r="E5" s="106"/>
      <c r="F5" s="106"/>
      <c r="H5" s="106" t="s">
        <v>172</v>
      </c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 t="s">
        <v>171</v>
      </c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 t="s">
        <v>172</v>
      </c>
      <c r="AN5" s="106"/>
      <c r="AO5" s="106"/>
      <c r="AP5" s="106"/>
      <c r="AQ5" s="106"/>
      <c r="AR5" s="106"/>
      <c r="AS5" s="106"/>
      <c r="AT5" s="106"/>
      <c r="AV5" s="106"/>
      <c r="AW5" s="106"/>
      <c r="AX5" s="106"/>
      <c r="AY5" s="106"/>
      <c r="AZ5" s="106"/>
      <c r="BA5" s="106"/>
      <c r="BB5" s="106"/>
    </row>
    <row r="6" spans="1:54" ht="17" customHeight="1" thickBot="1">
      <c r="A6" s="81" t="s">
        <v>29</v>
      </c>
      <c r="B6" s="81"/>
      <c r="C6" s="81" t="s">
        <v>30</v>
      </c>
      <c r="D6" s="81" t="s">
        <v>30</v>
      </c>
      <c r="E6" s="81" t="s">
        <v>30</v>
      </c>
      <c r="F6" s="81" t="s">
        <v>30</v>
      </c>
      <c r="G6" s="81"/>
      <c r="H6" s="81" t="s">
        <v>30</v>
      </c>
      <c r="I6" s="81" t="s">
        <v>30</v>
      </c>
      <c r="J6" s="81" t="s">
        <v>30</v>
      </c>
      <c r="K6" s="81" t="s">
        <v>30</v>
      </c>
      <c r="L6" s="81" t="s">
        <v>30</v>
      </c>
      <c r="M6" s="81" t="s">
        <v>30</v>
      </c>
      <c r="N6" s="81" t="s">
        <v>30</v>
      </c>
      <c r="O6" s="81" t="s">
        <v>30</v>
      </c>
      <c r="P6" s="81" t="s">
        <v>30</v>
      </c>
      <c r="Q6" s="81" t="s">
        <v>30</v>
      </c>
      <c r="R6" s="81" t="s">
        <v>30</v>
      </c>
      <c r="S6" s="81" t="s">
        <v>30</v>
      </c>
      <c r="T6" s="81" t="s">
        <v>30</v>
      </c>
      <c r="U6" s="81" t="s">
        <v>30</v>
      </c>
      <c r="V6" s="81" t="s">
        <v>30</v>
      </c>
      <c r="W6" s="81" t="s">
        <v>30</v>
      </c>
      <c r="X6" s="81" t="s">
        <v>30</v>
      </c>
      <c r="Y6" s="81" t="s">
        <v>30</v>
      </c>
      <c r="Z6" s="81" t="s">
        <v>30</v>
      </c>
      <c r="AA6" s="81" t="s">
        <v>30</v>
      </c>
      <c r="AB6" s="81" t="s">
        <v>30</v>
      </c>
      <c r="AC6" s="81" t="s">
        <v>30</v>
      </c>
      <c r="AD6" s="81" t="s">
        <v>30</v>
      </c>
      <c r="AE6" s="81" t="s">
        <v>30</v>
      </c>
      <c r="AF6" s="81" t="s">
        <v>30</v>
      </c>
      <c r="AG6" s="81" t="s">
        <v>30</v>
      </c>
      <c r="AH6" s="81" t="s">
        <v>30</v>
      </c>
      <c r="AI6" s="81" t="s">
        <v>30</v>
      </c>
      <c r="AJ6" s="81" t="s">
        <v>30</v>
      </c>
      <c r="AK6" s="81" t="s">
        <v>30</v>
      </c>
      <c r="AL6" s="81" t="s">
        <v>30</v>
      </c>
      <c r="AM6" s="82" t="s">
        <v>31</v>
      </c>
      <c r="AN6" s="82" t="s">
        <v>31</v>
      </c>
      <c r="AO6" s="81" t="s">
        <v>31</v>
      </c>
      <c r="AP6" s="81" t="s">
        <v>31</v>
      </c>
      <c r="AQ6" s="82" t="s">
        <v>31</v>
      </c>
      <c r="AR6" s="81" t="s">
        <v>31</v>
      </c>
      <c r="AS6" s="81" t="s">
        <v>31</v>
      </c>
      <c r="AT6" s="81" t="s">
        <v>31</v>
      </c>
      <c r="AU6" s="81"/>
      <c r="AV6" s="81" t="s">
        <v>30</v>
      </c>
      <c r="AW6" s="81" t="s">
        <v>30</v>
      </c>
      <c r="AX6" s="81" t="s">
        <v>30</v>
      </c>
      <c r="AY6" s="83" t="s">
        <v>30</v>
      </c>
      <c r="AZ6" s="81" t="s">
        <v>193</v>
      </c>
      <c r="BA6" s="81" t="s">
        <v>193</v>
      </c>
      <c r="BB6" s="81" t="s">
        <v>31</v>
      </c>
    </row>
    <row r="7" spans="1:54" ht="18" thickTop="1">
      <c r="A7" s="10" t="s">
        <v>378</v>
      </c>
      <c r="B7" s="84"/>
      <c r="C7" s="84">
        <v>49.352445457690301</v>
      </c>
      <c r="D7" s="84">
        <v>48.95</v>
      </c>
      <c r="E7" s="84">
        <v>48.63</v>
      </c>
      <c r="F7" s="84">
        <v>48.87</v>
      </c>
      <c r="G7" s="84"/>
      <c r="H7" s="84">
        <v>49.398662364312202</v>
      </c>
      <c r="I7" s="84">
        <v>51.869713944837301</v>
      </c>
      <c r="J7" s="84">
        <v>47.951191773339801</v>
      </c>
      <c r="K7" s="84">
        <v>50.802556672427698</v>
      </c>
      <c r="L7" s="84">
        <v>47.924641841594003</v>
      </c>
      <c r="M7" s="84">
        <v>51.965488527546</v>
      </c>
      <c r="N7" s="84">
        <v>50.885019022304903</v>
      </c>
      <c r="O7" s="84">
        <v>51.311824815504004</v>
      </c>
      <c r="P7" s="84">
        <v>46.764493781523598</v>
      </c>
      <c r="Q7" s="84">
        <v>51.249009168920203</v>
      </c>
      <c r="R7" s="84">
        <v>48.004099769979</v>
      </c>
      <c r="S7" s="84">
        <v>47.29</v>
      </c>
      <c r="T7" s="84">
        <v>50.06</v>
      </c>
      <c r="U7" s="84">
        <v>48.91</v>
      </c>
      <c r="V7" s="84">
        <v>49.919117335282699</v>
      </c>
      <c r="W7" s="84">
        <v>48.433900000000001</v>
      </c>
      <c r="X7" s="84">
        <v>48.9392</v>
      </c>
      <c r="Y7" s="84">
        <v>48.205399999999997</v>
      </c>
      <c r="Z7" s="84">
        <v>47.385092535156502</v>
      </c>
      <c r="AA7" s="84">
        <v>50.1877117402463</v>
      </c>
      <c r="AB7" s="84">
        <v>49.01</v>
      </c>
      <c r="AC7" s="84">
        <v>43.83</v>
      </c>
      <c r="AD7" s="84">
        <v>49.43</v>
      </c>
      <c r="AE7" s="84">
        <v>46.04</v>
      </c>
      <c r="AF7" s="84">
        <v>44.142043207659</v>
      </c>
      <c r="AG7" s="84">
        <v>45.091471230471001</v>
      </c>
      <c r="AH7" s="84">
        <v>49.801000000000002</v>
      </c>
      <c r="AI7" s="84">
        <v>47.1723</v>
      </c>
      <c r="AJ7" s="84">
        <v>46.223399999999998</v>
      </c>
      <c r="AK7" s="84">
        <v>46.536200000000001</v>
      </c>
      <c r="AL7" s="84">
        <v>51.3673</v>
      </c>
      <c r="AM7" s="84">
        <v>51.404005707236202</v>
      </c>
      <c r="AN7" s="84">
        <v>50.383557129754003</v>
      </c>
      <c r="AO7" s="84">
        <v>51.730995930214704</v>
      </c>
      <c r="AP7" s="84">
        <v>51.815101468512097</v>
      </c>
      <c r="AQ7" s="84">
        <v>51.830844716151098</v>
      </c>
      <c r="AR7" s="84">
        <v>50.292029895144303</v>
      </c>
      <c r="AS7" s="84">
        <v>49.52</v>
      </c>
      <c r="AT7" s="84">
        <v>47.772913728101898</v>
      </c>
      <c r="AU7" s="84"/>
      <c r="AV7" s="84">
        <v>52.302916927109997</v>
      </c>
      <c r="AW7" s="84">
        <v>54.744386341047701</v>
      </c>
      <c r="AX7" s="84">
        <v>57.689837810036998</v>
      </c>
      <c r="AY7" s="84">
        <v>64.36</v>
      </c>
      <c r="AZ7" s="84">
        <v>55.190802344682403</v>
      </c>
      <c r="BA7" s="84">
        <v>55.680128898088398</v>
      </c>
      <c r="BB7" s="84">
        <v>53.576933987100901</v>
      </c>
    </row>
    <row r="8" spans="1:54" ht="17">
      <c r="A8" s="10" t="s">
        <v>379</v>
      </c>
      <c r="B8" s="84"/>
      <c r="C8" s="84">
        <v>15.967715938555401</v>
      </c>
      <c r="D8" s="84">
        <v>17.59</v>
      </c>
      <c r="E8" s="84">
        <v>14.51</v>
      </c>
      <c r="F8" s="84">
        <v>15.93</v>
      </c>
      <c r="G8" s="84"/>
      <c r="H8" s="84">
        <v>14.7527714835166</v>
      </c>
      <c r="I8" s="84">
        <v>14.461142903826</v>
      </c>
      <c r="J8" s="84">
        <v>13.909549419702399</v>
      </c>
      <c r="K8" s="84">
        <v>13.739271600333</v>
      </c>
      <c r="L8" s="84">
        <v>11.6948634979926</v>
      </c>
      <c r="M8" s="84">
        <v>16.5568897667203</v>
      </c>
      <c r="N8" s="84">
        <v>13.509873426556901</v>
      </c>
      <c r="O8" s="84">
        <v>15.641551091480601</v>
      </c>
      <c r="P8" s="84">
        <v>13.570069378050301</v>
      </c>
      <c r="Q8" s="84">
        <v>16.299724057739802</v>
      </c>
      <c r="R8" s="84">
        <v>12.8676384723559</v>
      </c>
      <c r="S8" s="84">
        <v>13.59</v>
      </c>
      <c r="T8" s="84">
        <v>13.86</v>
      </c>
      <c r="U8" s="84">
        <v>14.77</v>
      </c>
      <c r="V8" s="84">
        <v>14.6978766966105</v>
      </c>
      <c r="W8" s="84">
        <v>15.458299999999999</v>
      </c>
      <c r="X8" s="84">
        <v>15.229100000000001</v>
      </c>
      <c r="Y8" s="84">
        <v>9.6675000000000004</v>
      </c>
      <c r="Z8" s="84">
        <v>15.672642640174001</v>
      </c>
      <c r="AA8" s="84">
        <v>14.006356711864701</v>
      </c>
      <c r="AB8" s="84">
        <v>13.37</v>
      </c>
      <c r="AC8" s="84">
        <v>12.85</v>
      </c>
      <c r="AD8" s="84">
        <v>14.63</v>
      </c>
      <c r="AE8" s="84">
        <v>12.92</v>
      </c>
      <c r="AF8" s="84">
        <v>12.5399705315392</v>
      </c>
      <c r="AG8" s="84">
        <v>12.0871461340653</v>
      </c>
      <c r="AH8" s="84">
        <v>16.821999999999999</v>
      </c>
      <c r="AI8" s="84">
        <v>13.0085</v>
      </c>
      <c r="AJ8" s="84">
        <v>13.0749</v>
      </c>
      <c r="AK8" s="84">
        <v>12.9861</v>
      </c>
      <c r="AL8" s="84">
        <v>13.7189</v>
      </c>
      <c r="AM8" s="84">
        <v>14.117106305232999</v>
      </c>
      <c r="AN8" s="84">
        <v>12.0342154349143</v>
      </c>
      <c r="AO8" s="84">
        <v>14.9554082469243</v>
      </c>
      <c r="AP8" s="84">
        <v>14.906581825253699</v>
      </c>
      <c r="AQ8" s="84">
        <v>15.1918721229321</v>
      </c>
      <c r="AR8" s="84">
        <v>14.3588369303191</v>
      </c>
      <c r="AS8" s="84">
        <v>13.06</v>
      </c>
      <c r="AT8" s="84">
        <v>15.366665673099901</v>
      </c>
      <c r="AU8" s="84"/>
      <c r="AV8" s="85">
        <v>15.804785609510001</v>
      </c>
      <c r="AW8" s="84">
        <v>15.7264017919226</v>
      </c>
      <c r="AX8" s="84">
        <v>15.993700487487899</v>
      </c>
      <c r="AY8" s="84">
        <v>15.61</v>
      </c>
      <c r="AZ8" s="84">
        <v>15.114541648545201</v>
      </c>
      <c r="BA8" s="84">
        <v>16.699630599470101</v>
      </c>
      <c r="BB8" s="84">
        <v>15.4229548872061</v>
      </c>
    </row>
    <row r="9" spans="1:54" ht="17">
      <c r="A9" s="10" t="s">
        <v>380</v>
      </c>
      <c r="B9" s="84"/>
      <c r="C9" s="84">
        <v>8.2494633593352606</v>
      </c>
      <c r="D9" s="84">
        <v>6.86</v>
      </c>
      <c r="E9" s="84">
        <v>9.17</v>
      </c>
      <c r="F9" s="84">
        <v>8.5399999999999991</v>
      </c>
      <c r="G9" s="84"/>
      <c r="H9" s="84">
        <v>12.3781078630475</v>
      </c>
      <c r="I9" s="84">
        <v>13.071940643002501</v>
      </c>
      <c r="J9" s="84">
        <v>16.282457389242801</v>
      </c>
      <c r="K9" s="84">
        <v>12.7475469566228</v>
      </c>
      <c r="L9" s="84">
        <v>19.449963114367002</v>
      </c>
      <c r="M9" s="84">
        <v>11.8755399413056</v>
      </c>
      <c r="N9" s="84">
        <v>12.7363675633733</v>
      </c>
      <c r="O9" s="84">
        <v>12.2048969514153</v>
      </c>
      <c r="P9" s="84">
        <v>13.7694361355205</v>
      </c>
      <c r="Q9" s="84">
        <v>9.4332036082053907</v>
      </c>
      <c r="R9" s="84">
        <v>13.8904353713405</v>
      </c>
      <c r="S9" s="84">
        <v>13.88</v>
      </c>
      <c r="T9" s="84">
        <v>13.74</v>
      </c>
      <c r="U9" s="84">
        <v>11.92</v>
      </c>
      <c r="V9" s="84">
        <v>11.996012124835501</v>
      </c>
      <c r="W9" s="84">
        <v>10.6144</v>
      </c>
      <c r="X9" s="84">
        <v>10.597899999999999</v>
      </c>
      <c r="Y9" s="84">
        <v>14.1547</v>
      </c>
      <c r="Z9" s="84">
        <v>12.894563856485</v>
      </c>
      <c r="AA9" s="84">
        <v>12.681168449280401</v>
      </c>
      <c r="AB9" s="84">
        <v>14.56</v>
      </c>
      <c r="AC9" s="84">
        <v>15.58</v>
      </c>
      <c r="AD9" s="84">
        <v>11.86</v>
      </c>
      <c r="AE9" s="84">
        <v>15.48</v>
      </c>
      <c r="AF9" s="84">
        <v>18.390661390181201</v>
      </c>
      <c r="AG9" s="84">
        <v>19.187614489312701</v>
      </c>
      <c r="AH9" s="84">
        <v>12.05</v>
      </c>
      <c r="AI9" s="84">
        <v>17.001000000000001</v>
      </c>
      <c r="AJ9" s="84">
        <v>17.160900000000002</v>
      </c>
      <c r="AK9" s="84">
        <v>16.435500000000001</v>
      </c>
      <c r="AL9" s="84">
        <v>14.717000000000001</v>
      </c>
      <c r="AM9" s="84">
        <v>13.438161894588101</v>
      </c>
      <c r="AN9" s="84">
        <v>9.9599964464723705</v>
      </c>
      <c r="AO9" s="84">
        <v>12.7652464559485</v>
      </c>
      <c r="AP9" s="84">
        <v>11.767645374727101</v>
      </c>
      <c r="AQ9" s="84">
        <v>11.1325011039334</v>
      </c>
      <c r="AR9" s="84">
        <v>12.5871922945849</v>
      </c>
      <c r="AS9" s="84">
        <v>14.26</v>
      </c>
      <c r="AT9" s="84">
        <v>13.3974261184709</v>
      </c>
      <c r="AU9" s="84"/>
      <c r="AV9" s="85">
        <v>10.4771870128238</v>
      </c>
      <c r="AW9" s="84">
        <v>9.3619902600299199</v>
      </c>
      <c r="AX9" s="84">
        <v>9.5883181140273699</v>
      </c>
      <c r="AY9" s="84">
        <v>4.8099999999999996</v>
      </c>
      <c r="AZ9" s="84">
        <v>9.6019383908043991</v>
      </c>
      <c r="BA9" s="84">
        <v>9.2603737964713293</v>
      </c>
      <c r="BB9" s="84">
        <v>9.2974884086404401</v>
      </c>
    </row>
    <row r="10" spans="1:54" ht="17">
      <c r="A10" s="10" t="s">
        <v>381</v>
      </c>
      <c r="B10" s="84"/>
      <c r="C10" s="84">
        <f t="shared" ref="C10:F10" si="0">C9*0.8998</f>
        <v>7.4228671307298679</v>
      </c>
      <c r="D10" s="84">
        <f t="shared" si="0"/>
        <v>6.1726280000000004</v>
      </c>
      <c r="E10" s="84">
        <f t="shared" si="0"/>
        <v>8.2511659999999996</v>
      </c>
      <c r="F10" s="84">
        <f t="shared" si="0"/>
        <v>7.6842919999999992</v>
      </c>
      <c r="G10" s="84"/>
      <c r="H10" s="84">
        <f t="shared" ref="H10:J10" si="1">H9*0.8998</f>
        <v>11.13782145517014</v>
      </c>
      <c r="I10" s="84">
        <f t="shared" si="1"/>
        <v>11.76213219057365</v>
      </c>
      <c r="J10" s="84">
        <f t="shared" si="1"/>
        <v>14.650955158840672</v>
      </c>
      <c r="K10" s="84">
        <f t="shared" ref="K10:P10" si="2">K9*0.8998</f>
        <v>11.470242751569197</v>
      </c>
      <c r="L10" s="84">
        <f t="shared" si="2"/>
        <v>17.501076810307428</v>
      </c>
      <c r="M10" s="84">
        <f t="shared" si="2"/>
        <v>10.685610839186779</v>
      </c>
      <c r="N10" s="84">
        <f t="shared" si="2"/>
        <v>11.460183533523296</v>
      </c>
      <c r="O10" s="84">
        <f t="shared" si="2"/>
        <v>10.981966276883487</v>
      </c>
      <c r="P10" s="84">
        <f t="shared" si="2"/>
        <v>12.389738634741347</v>
      </c>
      <c r="Q10" s="84">
        <v>8.4879966066632093</v>
      </c>
      <c r="R10" s="84">
        <f>R9*0.8998</f>
        <v>12.498613747132183</v>
      </c>
      <c r="S10" s="84">
        <f>S9*0.8998</f>
        <v>12.489224000000002</v>
      </c>
      <c r="T10" s="84">
        <f>T9*0.8998</f>
        <v>12.363252000000001</v>
      </c>
      <c r="U10" s="84">
        <f>U9*0.8998</f>
        <v>10.725616</v>
      </c>
      <c r="V10" s="84">
        <f>V9*0.8998</f>
        <v>10.794011709926984</v>
      </c>
      <c r="W10" s="84">
        <f t="shared" ref="W10:Y10" si="3">W9*0.8998</f>
        <v>9.5508371200000006</v>
      </c>
      <c r="X10" s="84">
        <f t="shared" si="3"/>
        <v>9.5359904199999992</v>
      </c>
      <c r="Y10" s="84">
        <f t="shared" si="3"/>
        <v>12.73639906</v>
      </c>
      <c r="Z10" s="84">
        <f t="shared" ref="Z10:AG10" si="4">Z9*0.8998</f>
        <v>11.602528558065204</v>
      </c>
      <c r="AA10" s="84">
        <f t="shared" si="4"/>
        <v>11.410515370662505</v>
      </c>
      <c r="AB10" s="84">
        <f t="shared" si="4"/>
        <v>13.101088000000001</v>
      </c>
      <c r="AC10" s="84">
        <f t="shared" si="4"/>
        <v>14.018884</v>
      </c>
      <c r="AD10" s="84">
        <f t="shared" si="4"/>
        <v>10.671628</v>
      </c>
      <c r="AE10" s="84">
        <f t="shared" si="4"/>
        <v>13.928904000000001</v>
      </c>
      <c r="AF10" s="84">
        <f t="shared" si="4"/>
        <v>16.547917118885046</v>
      </c>
      <c r="AG10" s="84">
        <f t="shared" si="4"/>
        <v>17.265015517483569</v>
      </c>
      <c r="AH10" s="84">
        <v>10.84259</v>
      </c>
      <c r="AI10" s="84">
        <f>AI9*0.8998</f>
        <v>15.297499800000002</v>
      </c>
      <c r="AJ10" s="84">
        <f>AJ9*0.8998</f>
        <v>15.441377820000001</v>
      </c>
      <c r="AK10" s="84">
        <f>AK9*0.8998</f>
        <v>14.788662900000002</v>
      </c>
      <c r="AL10" s="84">
        <f>AL9*0.8998</f>
        <v>13.242356600000001</v>
      </c>
      <c r="AM10" s="84">
        <f>AM9*0.8998</f>
        <v>12.091658072750374</v>
      </c>
      <c r="AN10" s="84">
        <v>8.9620048025358408</v>
      </c>
      <c r="AO10" s="84">
        <f t="shared" ref="AO10:AT10" si="5">AO9*0.8998</f>
        <v>11.48616876106246</v>
      </c>
      <c r="AP10" s="84">
        <f t="shared" si="5"/>
        <v>10.588527308179446</v>
      </c>
      <c r="AQ10" s="84">
        <v>10.017024493319299</v>
      </c>
      <c r="AR10" s="84">
        <f t="shared" si="5"/>
        <v>11.325955626667493</v>
      </c>
      <c r="AS10" s="84">
        <f t="shared" si="5"/>
        <v>12.831148000000001</v>
      </c>
      <c r="AT10" s="84">
        <f t="shared" si="5"/>
        <v>12.055004021400116</v>
      </c>
      <c r="AU10" s="84"/>
      <c r="AV10" s="85">
        <v>9.4273728741388592</v>
      </c>
      <c r="AW10" s="84">
        <f t="shared" ref="AW10" si="6">AW9*0.8998</f>
        <v>8.4239188359749217</v>
      </c>
      <c r="AX10" s="84">
        <v>10.656054805542754</v>
      </c>
      <c r="AY10" s="84">
        <f>AY9*0.8998</f>
        <v>4.3280380000000003</v>
      </c>
      <c r="AZ10" s="84">
        <v>8.6398241640458</v>
      </c>
      <c r="BA10" s="84">
        <f>BA9*0.8998</f>
        <v>8.3324843420649017</v>
      </c>
      <c r="BB10" s="84">
        <v>8.3658800700946703</v>
      </c>
    </row>
    <row r="11" spans="1:54">
      <c r="A11" s="77" t="s">
        <v>32</v>
      </c>
      <c r="B11" s="84"/>
      <c r="C11" s="84">
        <v>12.050455016521299</v>
      </c>
      <c r="D11" s="84">
        <v>12.3</v>
      </c>
      <c r="E11" s="84">
        <v>10.31</v>
      </c>
      <c r="F11" s="84">
        <v>10.69</v>
      </c>
      <c r="G11" s="84"/>
      <c r="H11" s="84">
        <v>9.8607067913955504</v>
      </c>
      <c r="I11" s="84">
        <v>8.5641027559362097</v>
      </c>
      <c r="J11" s="84">
        <v>9.3354029335652502</v>
      </c>
      <c r="K11" s="84">
        <v>11.0055025876801</v>
      </c>
      <c r="L11" s="84">
        <v>11.882978061879401</v>
      </c>
      <c r="M11" s="84">
        <v>8.7976343246539699</v>
      </c>
      <c r="N11" s="84">
        <v>10.169861105650799</v>
      </c>
      <c r="O11" s="84">
        <v>10.2807498318541</v>
      </c>
      <c r="P11" s="84">
        <v>12.294775385968499</v>
      </c>
      <c r="Q11" s="84">
        <v>8.8496990829316307</v>
      </c>
      <c r="R11" s="84">
        <v>10.4810123939309</v>
      </c>
      <c r="S11" s="84">
        <v>10.06</v>
      </c>
      <c r="T11" s="84">
        <v>9.9</v>
      </c>
      <c r="U11" s="84">
        <v>9.98</v>
      </c>
      <c r="V11" s="84">
        <v>14.118041110539</v>
      </c>
      <c r="W11" s="84">
        <v>12.604900000000001</v>
      </c>
      <c r="X11" s="84">
        <v>11.505100000000001</v>
      </c>
      <c r="Y11" s="84">
        <v>10.8081</v>
      </c>
      <c r="Z11" s="84">
        <v>10.831562222307999</v>
      </c>
      <c r="AA11" s="84">
        <v>9.2763343997101106</v>
      </c>
      <c r="AB11" s="84">
        <v>7.64</v>
      </c>
      <c r="AC11" s="84">
        <v>12.69</v>
      </c>
      <c r="AD11" s="84">
        <v>9.25</v>
      </c>
      <c r="AE11" s="84">
        <v>9.3699999999999992</v>
      </c>
      <c r="AF11" s="84">
        <v>14.615978503383801</v>
      </c>
      <c r="AG11" s="84">
        <v>11.2370596886038</v>
      </c>
      <c r="AH11" s="84">
        <v>9.1649999999999991</v>
      </c>
      <c r="AI11" s="84">
        <v>11.1692</v>
      </c>
      <c r="AJ11" s="84">
        <v>11.168900000000001</v>
      </c>
      <c r="AK11" s="84">
        <v>10.953200000000001</v>
      </c>
      <c r="AL11" s="84">
        <v>9.4257000000000009</v>
      </c>
      <c r="AM11" s="84">
        <v>9.8409833223225593</v>
      </c>
      <c r="AN11" s="84">
        <v>9.7618197520994805</v>
      </c>
      <c r="AO11" s="84">
        <v>8.8889686913820594</v>
      </c>
      <c r="AP11" s="84">
        <v>9.4480704632754708</v>
      </c>
      <c r="AQ11" s="84">
        <v>9.8443417552220094</v>
      </c>
      <c r="AR11" s="84">
        <v>10.7082017816912</v>
      </c>
      <c r="AS11" s="84">
        <v>9.26</v>
      </c>
      <c r="AT11" s="84">
        <v>11.1427826793274</v>
      </c>
      <c r="AU11" s="84"/>
      <c r="AV11" s="85">
        <v>9.8355660071812299</v>
      </c>
      <c r="AW11" s="84">
        <v>6.8403021069840699</v>
      </c>
      <c r="AX11" s="84">
        <v>5.8890731849398401</v>
      </c>
      <c r="AY11" s="84">
        <v>4.7</v>
      </c>
      <c r="AZ11" s="84">
        <v>9.1276254994080102</v>
      </c>
      <c r="BA11" s="84">
        <v>8.6737786155530792</v>
      </c>
      <c r="BB11" s="84">
        <v>6.8603463123089199</v>
      </c>
    </row>
    <row r="12" spans="1:54">
      <c r="A12" s="77" t="s">
        <v>33</v>
      </c>
      <c r="B12" s="84"/>
      <c r="C12" s="84">
        <v>9.3676621640252904</v>
      </c>
      <c r="D12" s="84">
        <v>8.4499999999999993</v>
      </c>
      <c r="E12" s="84">
        <v>10.33</v>
      </c>
      <c r="F12" s="84">
        <v>9.0299999999999994</v>
      </c>
      <c r="G12" s="84"/>
      <c r="H12" s="84">
        <v>8.4754885920829697</v>
      </c>
      <c r="I12" s="84">
        <v>7.0145962305523302</v>
      </c>
      <c r="J12" s="84">
        <v>6.2536715687046698</v>
      </c>
      <c r="K12" s="84">
        <v>7.1501787131986099</v>
      </c>
      <c r="L12" s="84">
        <v>5.0604350784805296</v>
      </c>
      <c r="M12" s="84">
        <v>4.50800116220727</v>
      </c>
      <c r="N12" s="84">
        <v>6.3567468984018802</v>
      </c>
      <c r="O12" s="84">
        <v>5.4030115800284904</v>
      </c>
      <c r="P12" s="84">
        <v>8.5149441672657495</v>
      </c>
      <c r="Q12" s="84">
        <v>6.20317596003623</v>
      </c>
      <c r="R12" s="84">
        <v>7.1468145990585796</v>
      </c>
      <c r="S12" s="84">
        <v>6.01</v>
      </c>
      <c r="T12" s="84">
        <v>5.49</v>
      </c>
      <c r="U12" s="84">
        <v>8</v>
      </c>
      <c r="V12" s="84">
        <v>3.8889081844967301</v>
      </c>
      <c r="W12" s="84">
        <v>8.1464999999999996</v>
      </c>
      <c r="X12" s="84">
        <v>8.5625</v>
      </c>
      <c r="Y12" s="84">
        <v>12.176</v>
      </c>
      <c r="Z12" s="84">
        <v>5.8368206594519201</v>
      </c>
      <c r="AA12" s="84">
        <v>7.5629057234204096</v>
      </c>
      <c r="AB12" s="84">
        <v>5.16</v>
      </c>
      <c r="AC12" s="84">
        <v>6.71</v>
      </c>
      <c r="AD12" s="84">
        <v>7.26</v>
      </c>
      <c r="AE12" s="84">
        <v>5.59</v>
      </c>
      <c r="AF12" s="84">
        <v>6.3324549971378996</v>
      </c>
      <c r="AG12" s="84">
        <v>7.0384913084925902</v>
      </c>
      <c r="AH12" s="84">
        <v>6.2640000000000002</v>
      </c>
      <c r="AI12" s="84">
        <v>6.3257000000000003</v>
      </c>
      <c r="AJ12" s="84">
        <v>6.3872</v>
      </c>
      <c r="AK12" s="84">
        <v>6.8261000000000003</v>
      </c>
      <c r="AL12" s="84">
        <v>5.2126999999999999</v>
      </c>
      <c r="AM12" s="84">
        <v>6.5344084369204101</v>
      </c>
      <c r="AN12" s="84">
        <v>9.2132694825889505</v>
      </c>
      <c r="AO12" s="84">
        <v>4.6920559323917903</v>
      </c>
      <c r="AP12" s="84">
        <v>6.64970091615029</v>
      </c>
      <c r="AQ12" s="84">
        <v>6.5463043385425301</v>
      </c>
      <c r="AR12" s="84">
        <v>6.5342126039676902</v>
      </c>
      <c r="AS12" s="84">
        <v>7.01</v>
      </c>
      <c r="AT12" s="84">
        <v>6.4695047736248901</v>
      </c>
      <c r="AU12" s="84"/>
      <c r="AV12" s="85">
        <v>6.90067913999982</v>
      </c>
      <c r="AW12" s="84">
        <v>4.8236000515607804</v>
      </c>
      <c r="AX12" s="84">
        <v>3.8453223130015202</v>
      </c>
      <c r="AY12" s="84">
        <v>2.87</v>
      </c>
      <c r="AZ12" s="84">
        <v>5.5662179121905</v>
      </c>
      <c r="BA12" s="84">
        <v>4.3060188540287401</v>
      </c>
      <c r="BB12" s="84">
        <v>4.5375105230623598</v>
      </c>
    </row>
    <row r="13" spans="1:54" ht="17">
      <c r="A13" s="10" t="s">
        <v>126</v>
      </c>
      <c r="B13" s="84"/>
      <c r="C13" s="84">
        <v>1.63041677389988</v>
      </c>
      <c r="D13" s="84">
        <v>1.1000000000000001</v>
      </c>
      <c r="E13" s="84">
        <v>1.65</v>
      </c>
      <c r="F13" s="84">
        <v>1.56</v>
      </c>
      <c r="G13" s="84"/>
      <c r="H13" s="84">
        <v>0.73706165003635105</v>
      </c>
      <c r="I13" s="84">
        <v>0.57047847508768801</v>
      </c>
      <c r="J13" s="84">
        <v>1.1682636969348199</v>
      </c>
      <c r="K13" s="84">
        <v>0.24935331674596301</v>
      </c>
      <c r="L13" s="84">
        <v>0.85949620289724404</v>
      </c>
      <c r="M13" s="84">
        <v>1.72393939125263</v>
      </c>
      <c r="N13" s="84">
        <v>1.1189475533834801</v>
      </c>
      <c r="O13" s="84">
        <v>0.90981181455959703</v>
      </c>
      <c r="P13" s="84">
        <v>0.58169101792778</v>
      </c>
      <c r="Q13" s="84">
        <v>1.1187550249995999</v>
      </c>
      <c r="R13" s="84">
        <v>0.74065159905469602</v>
      </c>
      <c r="S13" s="84">
        <v>0.93</v>
      </c>
      <c r="T13" s="84">
        <v>0.9</v>
      </c>
      <c r="U13" s="84">
        <v>1.33</v>
      </c>
      <c r="V13" s="84">
        <v>0.28853957060103202</v>
      </c>
      <c r="W13" s="84">
        <v>0.78539999999999999</v>
      </c>
      <c r="X13" s="84">
        <v>0.78449999999999998</v>
      </c>
      <c r="Y13" s="84">
        <v>0.35649999999999998</v>
      </c>
      <c r="Z13" s="84">
        <v>0.82545247492322105</v>
      </c>
      <c r="AA13" s="84">
        <v>1.02047706975449</v>
      </c>
      <c r="AB13" s="84">
        <v>1</v>
      </c>
      <c r="AC13" s="84">
        <v>0.78</v>
      </c>
      <c r="AD13" s="84">
        <v>0.88</v>
      </c>
      <c r="AE13" s="84">
        <v>0.75</v>
      </c>
      <c r="AF13" s="84">
        <v>0.36897918025658599</v>
      </c>
      <c r="AG13" s="84">
        <v>0.79236577321116997</v>
      </c>
      <c r="AH13" s="84">
        <v>0.63400000000000001</v>
      </c>
      <c r="AI13" s="84">
        <v>0.68269999999999997</v>
      </c>
      <c r="AJ13" s="84">
        <v>0.69430000000000003</v>
      </c>
      <c r="AK13" s="84">
        <v>0.74519999999999997</v>
      </c>
      <c r="AL13" s="84">
        <v>0.84940000000000004</v>
      </c>
      <c r="AM13" s="84">
        <v>0.513527432546656</v>
      </c>
      <c r="AN13" s="84">
        <v>0.75066348993382903</v>
      </c>
      <c r="AO13" s="84">
        <v>0.89068562181842104</v>
      </c>
      <c r="AP13" s="84">
        <v>0.76277775350695098</v>
      </c>
      <c r="AQ13" s="84">
        <v>0.89696845128585101</v>
      </c>
      <c r="AR13" s="84">
        <v>0.72439456481384301</v>
      </c>
      <c r="AS13" s="84">
        <v>0.79</v>
      </c>
      <c r="AT13" s="84">
        <v>1.07999082025771</v>
      </c>
      <c r="AU13" s="84"/>
      <c r="AV13" s="85">
        <v>0.464519972765084</v>
      </c>
      <c r="AW13" s="84">
        <v>2.0898042073055998</v>
      </c>
      <c r="AX13" s="84">
        <v>0.68</v>
      </c>
      <c r="AY13" s="84">
        <v>1.25</v>
      </c>
      <c r="AZ13" s="84">
        <v>0.87974061759969602</v>
      </c>
      <c r="BA13" s="84">
        <v>0.79455707050831004</v>
      </c>
      <c r="BB13" s="84">
        <v>1.38528269248464</v>
      </c>
    </row>
    <row r="14" spans="1:54" ht="17">
      <c r="A14" s="10" t="s">
        <v>382</v>
      </c>
      <c r="B14" s="84"/>
      <c r="C14" s="84">
        <v>1.0352043304378999</v>
      </c>
      <c r="D14" s="84">
        <v>2.06</v>
      </c>
      <c r="E14" s="84">
        <v>2.5099999999999998</v>
      </c>
      <c r="F14" s="84">
        <v>2.2400000000000002</v>
      </c>
      <c r="G14" s="84"/>
      <c r="H14" s="84">
        <v>1.27769361266337</v>
      </c>
      <c r="I14" s="84">
        <v>1.0969525901521999</v>
      </c>
      <c r="J14" s="84">
        <v>1.68702862410518</v>
      </c>
      <c r="K14" s="84">
        <v>1.6765240023749099</v>
      </c>
      <c r="L14" s="84">
        <v>3.6662461700985E-2</v>
      </c>
      <c r="M14" s="84">
        <v>2.1993338827634399</v>
      </c>
      <c r="N14" s="84">
        <v>2.0660014722627702</v>
      </c>
      <c r="O14" s="84">
        <v>2.04726052945654</v>
      </c>
      <c r="P14" s="84">
        <v>1.29971480978577</v>
      </c>
      <c r="Q14" s="84">
        <v>4.3333206838120999</v>
      </c>
      <c r="R14" s="84">
        <v>2.6769314292147302</v>
      </c>
      <c r="S14" s="84">
        <v>5.3</v>
      </c>
      <c r="T14" s="84">
        <v>3.36</v>
      </c>
      <c r="U14" s="84">
        <v>1.51</v>
      </c>
      <c r="V14" s="84">
        <v>2.3702086634077402</v>
      </c>
      <c r="W14" s="84">
        <v>1.8041</v>
      </c>
      <c r="X14" s="84">
        <v>1.93</v>
      </c>
      <c r="Y14" s="84">
        <v>1.6637</v>
      </c>
      <c r="Z14" s="84">
        <v>2.8733739714272999</v>
      </c>
      <c r="AA14" s="84">
        <v>2.5969075402490698</v>
      </c>
      <c r="AB14" s="84">
        <v>5.89</v>
      </c>
      <c r="AC14" s="84">
        <v>3.88</v>
      </c>
      <c r="AD14" s="84">
        <v>4.17</v>
      </c>
      <c r="AE14" s="84">
        <v>5.67</v>
      </c>
      <c r="AF14" s="84">
        <v>0.27102326465778798</v>
      </c>
      <c r="AG14" s="84">
        <v>1.23743541401104</v>
      </c>
      <c r="AH14" s="84">
        <v>3.0579999999999998</v>
      </c>
      <c r="AI14" s="84">
        <v>1.9831000000000001</v>
      </c>
      <c r="AJ14" s="84">
        <v>1.9761</v>
      </c>
      <c r="AK14" s="84">
        <v>1.861</v>
      </c>
      <c r="AL14" s="84">
        <v>2.5409000000000002</v>
      </c>
      <c r="AM14" s="84">
        <v>1.8452895059796699</v>
      </c>
      <c r="AN14" s="84">
        <v>5.9528854258855599</v>
      </c>
      <c r="AO14" s="84">
        <v>2.3247186438393799</v>
      </c>
      <c r="AP14" s="84">
        <v>2.5879557864187199</v>
      </c>
      <c r="AQ14" s="84">
        <v>2.7058301689286601</v>
      </c>
      <c r="AR14" s="84">
        <v>2.6871279993858499</v>
      </c>
      <c r="AS14" s="84">
        <v>2.96</v>
      </c>
      <c r="AT14" s="84">
        <v>1.99550175319654</v>
      </c>
      <c r="AU14" s="84"/>
      <c r="AV14" s="85">
        <v>2.22778123312855</v>
      </c>
      <c r="AW14" s="84">
        <v>3.2847877292454899</v>
      </c>
      <c r="AX14" s="84">
        <v>3.4528659949754701</v>
      </c>
      <c r="AY14" s="84">
        <v>4.43</v>
      </c>
      <c r="AZ14" s="84">
        <v>2.4559037930101502</v>
      </c>
      <c r="BA14" s="84">
        <v>2.8864105684154202</v>
      </c>
      <c r="BB14" s="84">
        <v>6.4017286779190998</v>
      </c>
    </row>
    <row r="15" spans="1:54">
      <c r="A15" s="10" t="s">
        <v>35</v>
      </c>
      <c r="B15" s="84"/>
      <c r="C15" s="84">
        <v>0.15817848605235099</v>
      </c>
      <c r="D15" s="84">
        <v>0.127</v>
      </c>
      <c r="E15" s="84">
        <v>0.13</v>
      </c>
      <c r="F15" s="84">
        <v>0.13</v>
      </c>
      <c r="G15" s="84"/>
      <c r="H15" s="84">
        <v>0.18803413794776599</v>
      </c>
      <c r="I15" s="84">
        <v>0.18105931234097999</v>
      </c>
      <c r="J15" s="84">
        <v>0.20128207473684101</v>
      </c>
      <c r="K15" s="84">
        <v>0.199357101329488</v>
      </c>
      <c r="L15" s="84">
        <v>0.44313330469953699</v>
      </c>
      <c r="M15" s="84">
        <v>0.17901144567285801</v>
      </c>
      <c r="N15" s="84">
        <v>0.239102027207586</v>
      </c>
      <c r="O15" s="84">
        <v>0.25927374286472998</v>
      </c>
      <c r="P15" s="84">
        <v>0.208722611149814</v>
      </c>
      <c r="Q15" s="84">
        <v>0.14149716118767799</v>
      </c>
      <c r="R15" s="84">
        <v>0.212722164928563</v>
      </c>
      <c r="S15" s="84">
        <v>0.248</v>
      </c>
      <c r="T15" s="84">
        <v>0.214</v>
      </c>
      <c r="U15" s="84">
        <v>0.17100000000000001</v>
      </c>
      <c r="V15" s="84">
        <v>0.17780592558149499</v>
      </c>
      <c r="W15" s="84">
        <v>0.18490000000000001</v>
      </c>
      <c r="X15" s="84">
        <v>0.17</v>
      </c>
      <c r="Y15" s="84">
        <v>0.22239999999999999</v>
      </c>
      <c r="Z15" s="84">
        <v>0.219481526020217</v>
      </c>
      <c r="AA15" s="84">
        <v>0.17852848547405001</v>
      </c>
      <c r="AB15" s="84">
        <v>0.23499999999999999</v>
      </c>
      <c r="AC15" s="84">
        <v>0.24299999999999999</v>
      </c>
      <c r="AD15" s="84">
        <v>0.16200000000000001</v>
      </c>
      <c r="AE15" s="84">
        <v>0.21199999999999999</v>
      </c>
      <c r="AF15" s="84">
        <v>0.23224737868081199</v>
      </c>
      <c r="AG15" s="84">
        <v>0.21448445623715201</v>
      </c>
      <c r="AH15" s="84">
        <v>0.16500000000000001</v>
      </c>
      <c r="AI15" s="84">
        <v>0.2329</v>
      </c>
      <c r="AJ15" s="84">
        <v>0.2472</v>
      </c>
      <c r="AK15" s="84">
        <v>0.27550000000000002</v>
      </c>
      <c r="AL15" s="84">
        <v>0.25069999999999998</v>
      </c>
      <c r="AM15" s="84">
        <v>0.21428662777747301</v>
      </c>
      <c r="AN15" s="84">
        <v>0.16274089463977501</v>
      </c>
      <c r="AO15" s="84">
        <v>0.24185760415697</v>
      </c>
      <c r="AP15" s="84">
        <v>0.18388570656198</v>
      </c>
      <c r="AQ15" s="84">
        <v>0.15293049923837199</v>
      </c>
      <c r="AR15" s="84">
        <v>0.25609430751315498</v>
      </c>
      <c r="AS15" s="84">
        <v>0.183</v>
      </c>
      <c r="AT15" s="84">
        <v>0.196751676567409</v>
      </c>
      <c r="AU15" s="84"/>
      <c r="AV15" s="85">
        <v>0.16539694366428701</v>
      </c>
      <c r="AW15" s="84">
        <v>0.167909494049509</v>
      </c>
      <c r="AX15" s="84">
        <v>0.170517076186877</v>
      </c>
      <c r="AY15" s="84">
        <v>7.0000000000000007E-2</v>
      </c>
      <c r="AZ15" s="84">
        <v>0.137949239488939</v>
      </c>
      <c r="BA15" s="84">
        <v>0.123609741529075</v>
      </c>
      <c r="BB15" s="84">
        <v>0.13080735880886701</v>
      </c>
    </row>
    <row r="16" spans="1:54" ht="17">
      <c r="A16" s="10" t="s">
        <v>383</v>
      </c>
      <c r="B16" s="84"/>
      <c r="C16" s="84">
        <v>0.24904989143380701</v>
      </c>
      <c r="D16" s="84">
        <v>0.249</v>
      </c>
      <c r="E16" s="84">
        <v>0.47</v>
      </c>
      <c r="F16" s="84">
        <v>0.47</v>
      </c>
      <c r="G16" s="84"/>
      <c r="H16" s="84">
        <v>0.75937731365831596</v>
      </c>
      <c r="I16" s="84">
        <v>1.0916782636834099</v>
      </c>
      <c r="J16" s="84">
        <v>1.6417122979844601</v>
      </c>
      <c r="K16" s="84">
        <v>1.4313985400907401</v>
      </c>
      <c r="L16" s="84">
        <v>1.0325506651530301</v>
      </c>
      <c r="M16" s="84">
        <v>1.13134252971409</v>
      </c>
      <c r="N16" s="84">
        <v>1.4170097747355801</v>
      </c>
      <c r="O16" s="84">
        <v>0.97002043992562004</v>
      </c>
      <c r="P16" s="84">
        <v>0.92750298889664795</v>
      </c>
      <c r="Q16" s="84">
        <v>0.75604436642210004</v>
      </c>
      <c r="R16" s="84">
        <v>1.1805095407507999</v>
      </c>
      <c r="S16" s="84">
        <v>1.5640000000000001</v>
      </c>
      <c r="T16" s="84">
        <v>1.224</v>
      </c>
      <c r="U16" s="84">
        <v>0.84299999999999997</v>
      </c>
      <c r="V16" s="84">
        <v>0.82168579908671302</v>
      </c>
      <c r="W16" s="84">
        <v>0.68069999999999997</v>
      </c>
      <c r="X16" s="84">
        <v>0.66</v>
      </c>
      <c r="Y16" s="84">
        <v>0.79920000000000002</v>
      </c>
      <c r="Z16" s="84">
        <v>1.2705009000710099</v>
      </c>
      <c r="AA16" s="84">
        <v>0.83872678946520096</v>
      </c>
      <c r="AB16" s="84">
        <v>1.3169999999999999</v>
      </c>
      <c r="AC16" s="84">
        <v>1.228</v>
      </c>
      <c r="AD16" s="84">
        <v>0.89600000000000002</v>
      </c>
      <c r="AE16" s="84">
        <v>1.41</v>
      </c>
      <c r="AF16" s="84">
        <v>1.34185836490493</v>
      </c>
      <c r="AG16" s="84">
        <v>1.58821680308883</v>
      </c>
      <c r="AH16" s="84">
        <v>0.72899999999999998</v>
      </c>
      <c r="AI16" s="84">
        <v>1.4709000000000001</v>
      </c>
      <c r="AJ16" s="84">
        <v>1.5637000000000001</v>
      </c>
      <c r="AK16" s="84">
        <v>1.6162000000000001</v>
      </c>
      <c r="AL16" s="84">
        <v>1.3695999999999999</v>
      </c>
      <c r="AM16" s="84">
        <v>0.85780031453890204</v>
      </c>
      <c r="AN16" s="84">
        <v>0.58490431487741601</v>
      </c>
      <c r="AO16" s="84">
        <v>1.5860174491658401</v>
      </c>
      <c r="AP16" s="84">
        <v>0.65462202740376096</v>
      </c>
      <c r="AQ16" s="84">
        <v>0.98143117152945702</v>
      </c>
      <c r="AR16" s="84">
        <v>0.86181510902553105</v>
      </c>
      <c r="AS16" s="84">
        <v>1.1970000000000001</v>
      </c>
      <c r="AT16" s="84">
        <v>1.0196075311749899</v>
      </c>
      <c r="AU16" s="84"/>
      <c r="AV16" s="85">
        <v>0.621152968357507</v>
      </c>
      <c r="AW16" s="84">
        <v>0.85057784632848699</v>
      </c>
      <c r="AX16" s="84">
        <v>0.93604349704699097</v>
      </c>
      <c r="AY16" s="84">
        <v>0.5</v>
      </c>
      <c r="AZ16" s="84">
        <v>0.824652441082803</v>
      </c>
      <c r="BA16" s="84">
        <v>0.86413941932534</v>
      </c>
      <c r="BB16" s="84">
        <v>0.75807199648905799</v>
      </c>
    </row>
    <row r="17" spans="1:54" ht="17">
      <c r="A17" s="10" t="s">
        <v>384</v>
      </c>
      <c r="B17" s="84"/>
      <c r="C17" s="84">
        <v>0.05</v>
      </c>
      <c r="D17" s="84">
        <v>0.05</v>
      </c>
      <c r="E17" s="84">
        <v>0.02</v>
      </c>
      <c r="F17" s="84">
        <v>0.04</v>
      </c>
      <c r="G17" s="84"/>
      <c r="H17" s="84">
        <v>4.0590313027371802E-2</v>
      </c>
      <c r="I17" s="84">
        <v>6.9855620425392007E-2</v>
      </c>
      <c r="J17" s="84">
        <v>0.14264892604908999</v>
      </c>
      <c r="K17" s="84">
        <v>0.141540684460401</v>
      </c>
      <c r="L17" s="84">
        <v>0.113386705845983</v>
      </c>
      <c r="M17" s="84">
        <v>0.166091244665212</v>
      </c>
      <c r="N17" s="84">
        <v>0.14266449735451001</v>
      </c>
      <c r="O17" s="84">
        <v>5.5338501759083197E-2</v>
      </c>
      <c r="P17" s="84">
        <v>6.0920812383930503E-2</v>
      </c>
      <c r="Q17" s="84">
        <v>0.200803348960024</v>
      </c>
      <c r="R17" s="84">
        <v>0.11466419975627</v>
      </c>
      <c r="S17" s="84">
        <v>0.14199999999999999</v>
      </c>
      <c r="T17" s="84">
        <v>0.13100000000000001</v>
      </c>
      <c r="U17" s="84">
        <v>3.6999999999999998E-2</v>
      </c>
      <c r="V17" s="84">
        <v>3.95674452116795E-2</v>
      </c>
      <c r="W17" s="84">
        <v>6.1400000000000003E-2</v>
      </c>
      <c r="X17" s="84">
        <v>6.5100000000000005E-2</v>
      </c>
      <c r="Y17" s="84">
        <v>5.8900000000000001E-2</v>
      </c>
      <c r="Z17" s="84">
        <v>0.18610332995839901</v>
      </c>
      <c r="AA17" s="84">
        <v>6.9469426936040898E-2</v>
      </c>
      <c r="AB17" s="84">
        <v>0.14199999999999999</v>
      </c>
      <c r="AC17" s="84">
        <v>9.7000000000000003E-2</v>
      </c>
      <c r="AD17" s="84">
        <v>0.13100000000000001</v>
      </c>
      <c r="AE17" s="84">
        <v>0.13500000000000001</v>
      </c>
      <c r="AF17" s="84">
        <v>0.198752822279884</v>
      </c>
      <c r="AG17" s="84">
        <v>0.12110574458588499</v>
      </c>
      <c r="AH17" s="84">
        <v>0.15</v>
      </c>
      <c r="AI17" s="84">
        <v>0.11269999999999999</v>
      </c>
      <c r="AJ17" s="84">
        <v>0.1167</v>
      </c>
      <c r="AK17" s="84">
        <v>0.15890000000000001</v>
      </c>
      <c r="AL17" s="84">
        <v>0.1244</v>
      </c>
      <c r="AM17" s="84">
        <v>5.7333662437215799E-2</v>
      </c>
      <c r="AN17" s="84">
        <v>5.2508673285112002E-2</v>
      </c>
      <c r="AO17" s="84">
        <v>0.14771965131119899</v>
      </c>
      <c r="AP17" s="84">
        <v>6.3470870478138902E-2</v>
      </c>
      <c r="AQ17" s="84">
        <v>9.8583297029694497E-2</v>
      </c>
      <c r="AR17" s="84">
        <v>6.1822597371960698E-2</v>
      </c>
      <c r="AS17" s="84">
        <v>0.11899999999999999</v>
      </c>
      <c r="AT17" s="84">
        <v>8.3066070156480806E-2</v>
      </c>
      <c r="AU17" s="84"/>
      <c r="AV17" s="85">
        <v>7.8568090603524404E-2</v>
      </c>
      <c r="AW17" s="84">
        <v>0.14062372312795399</v>
      </c>
      <c r="AX17" s="84">
        <v>0.15</v>
      </c>
      <c r="AY17" s="84">
        <v>0.08</v>
      </c>
      <c r="AZ17" s="84">
        <v>0.13627055947925301</v>
      </c>
      <c r="BA17" s="84">
        <v>9.5152562167320306E-2</v>
      </c>
      <c r="BB17" s="84">
        <v>0.13745390517539799</v>
      </c>
    </row>
    <row r="18" spans="1:54">
      <c r="A18" s="77" t="s">
        <v>36</v>
      </c>
      <c r="B18" s="84"/>
      <c r="C18" s="84">
        <v>1.8411046627976499</v>
      </c>
      <c r="D18" s="84">
        <v>2.14</v>
      </c>
      <c r="E18" s="84">
        <v>2.0699999999999998</v>
      </c>
      <c r="F18" s="84">
        <v>2.39</v>
      </c>
      <c r="G18" s="84"/>
      <c r="H18" s="84">
        <v>1.93836978131202</v>
      </c>
      <c r="I18" s="84">
        <v>1.8974918211559799</v>
      </c>
      <c r="J18" s="84">
        <v>1.3105639396347499</v>
      </c>
      <c r="K18" s="84">
        <v>0.73624514973639699</v>
      </c>
      <c r="L18" s="84">
        <v>1.3291396103895801</v>
      </c>
      <c r="M18" s="84">
        <v>0.76807980049873403</v>
      </c>
      <c r="N18" s="84">
        <v>1.21364092276833</v>
      </c>
      <c r="O18" s="84">
        <v>0.75046904315197605</v>
      </c>
      <c r="P18" s="84">
        <v>1.8931064155273001</v>
      </c>
      <c r="Q18" s="84">
        <v>1.27604426278523</v>
      </c>
      <c r="R18" s="84">
        <v>2.5495195136300999</v>
      </c>
      <c r="S18" s="84">
        <v>0.87</v>
      </c>
      <c r="T18" s="84">
        <v>1.01</v>
      </c>
      <c r="U18" s="84">
        <v>2.37</v>
      </c>
      <c r="V18" s="84">
        <v>1.6009487103469999</v>
      </c>
      <c r="W18" s="84">
        <v>1.663</v>
      </c>
      <c r="X18" s="84">
        <v>1.5169999999999999</v>
      </c>
      <c r="Y18" s="84">
        <v>1.84</v>
      </c>
      <c r="Z18" s="84">
        <v>1.8793573810244799</v>
      </c>
      <c r="AA18" s="84">
        <v>1.46283212259921</v>
      </c>
      <c r="AB18" s="84">
        <v>1.54</v>
      </c>
      <c r="AC18" s="84">
        <v>1.98</v>
      </c>
      <c r="AD18" s="84">
        <v>1.18</v>
      </c>
      <c r="AE18" s="84">
        <v>2.29</v>
      </c>
      <c r="AF18" s="84">
        <v>1.51019622931887</v>
      </c>
      <c r="AG18" s="84">
        <v>1.34260600792054</v>
      </c>
      <c r="AH18" s="84">
        <v>1.452</v>
      </c>
      <c r="AI18" s="84">
        <v>1.155</v>
      </c>
      <c r="AJ18" s="84">
        <v>1.58</v>
      </c>
      <c r="AK18" s="84">
        <v>1.31</v>
      </c>
      <c r="AL18" s="84">
        <v>0.89400000000000002</v>
      </c>
      <c r="AM18" s="84">
        <v>1.07418933841983</v>
      </c>
      <c r="AN18" s="84">
        <v>0.998751560549205</v>
      </c>
      <c r="AO18" s="84">
        <v>1.63174858984685</v>
      </c>
      <c r="AP18" s="84">
        <v>1.06233714171178</v>
      </c>
      <c r="AQ18" s="84">
        <v>0.49875311720688398</v>
      </c>
      <c r="AR18" s="84">
        <v>0.81785137318244105</v>
      </c>
      <c r="AS18" s="84">
        <v>1.5</v>
      </c>
      <c r="AT18" s="84">
        <v>1.34962072702197</v>
      </c>
      <c r="AU18" s="84"/>
      <c r="AV18" s="85">
        <v>1.01796407185622</v>
      </c>
      <c r="AW18" s="84">
        <v>1.79978597139795</v>
      </c>
      <c r="AX18" s="84">
        <v>1.4965208273759101</v>
      </c>
      <c r="AY18" s="84">
        <v>1.22</v>
      </c>
      <c r="AZ18" s="84">
        <v>0.82943013270862198</v>
      </c>
      <c r="BA18" s="84">
        <v>0.50009805844288602</v>
      </c>
      <c r="BB18" s="84">
        <v>1.3610242968041699</v>
      </c>
    </row>
    <row r="19" spans="1:54">
      <c r="A19" s="55" t="s">
        <v>37</v>
      </c>
      <c r="B19" s="86"/>
      <c r="C19" s="86">
        <v>99.902962657000003</v>
      </c>
      <c r="D19" s="86">
        <v>99.83</v>
      </c>
      <c r="E19" s="86">
        <v>99.79</v>
      </c>
      <c r="F19" s="86">
        <v>99.89</v>
      </c>
      <c r="G19" s="86"/>
      <c r="H19" s="86">
        <v>99.806863903000007</v>
      </c>
      <c r="I19" s="86">
        <v>99.889012561000001</v>
      </c>
      <c r="J19" s="86">
        <v>99.883772644000004</v>
      </c>
      <c r="K19" s="86">
        <v>99.879475325000001</v>
      </c>
      <c r="L19" s="86">
        <v>99.827250544999998</v>
      </c>
      <c r="M19" s="86">
        <v>99.871352017000007</v>
      </c>
      <c r="N19" s="86">
        <v>99.855234264000003</v>
      </c>
      <c r="O19" s="86">
        <v>99.834208341999997</v>
      </c>
      <c r="P19" s="86">
        <v>99.885377504000004</v>
      </c>
      <c r="Q19" s="86">
        <v>99.861276726</v>
      </c>
      <c r="R19" s="86">
        <v>99.864999053999995</v>
      </c>
      <c r="S19" s="86">
        <v>99.89</v>
      </c>
      <c r="T19" s="86">
        <v>99.88</v>
      </c>
      <c r="U19" s="86">
        <v>99.85</v>
      </c>
      <c r="V19" s="86">
        <v>7631.7612810342298</v>
      </c>
      <c r="W19" s="86">
        <v>100.4375</v>
      </c>
      <c r="X19" s="86">
        <v>99.966800000000006</v>
      </c>
      <c r="Y19" s="86">
        <v>99.952399999999997</v>
      </c>
      <c r="Z19" s="86">
        <v>99.874951496999998</v>
      </c>
      <c r="AA19" s="86">
        <v>99.881418459000002</v>
      </c>
      <c r="AB19" s="86">
        <v>99.86</v>
      </c>
      <c r="AC19" s="86">
        <v>99.88</v>
      </c>
      <c r="AD19" s="86">
        <v>99.84</v>
      </c>
      <c r="AE19" s="86">
        <v>99.86</v>
      </c>
      <c r="AF19" s="86">
        <v>99.944165870000006</v>
      </c>
      <c r="AG19" s="86">
        <v>99.937997050000007</v>
      </c>
      <c r="AH19" s="86">
        <v>100.29</v>
      </c>
      <c r="AI19" s="86">
        <v>100.31399999999999</v>
      </c>
      <c r="AJ19" s="86">
        <v>100.19329999999999</v>
      </c>
      <c r="AK19" s="86">
        <v>99.703900000000004</v>
      </c>
      <c r="AL19" s="86">
        <v>100.4706</v>
      </c>
      <c r="AM19" s="86">
        <v>99.897092548000003</v>
      </c>
      <c r="AN19" s="86">
        <v>99.855312604999995</v>
      </c>
      <c r="AO19" s="86">
        <v>99.855422817000004</v>
      </c>
      <c r="AP19" s="86">
        <v>99.902149334000001</v>
      </c>
      <c r="AQ19" s="86">
        <v>99.880360741999993</v>
      </c>
      <c r="AR19" s="86">
        <v>99.889579456999996</v>
      </c>
      <c r="AS19" s="86">
        <v>99.87</v>
      </c>
      <c r="AT19" s="86">
        <v>99.873831550999995</v>
      </c>
      <c r="AU19" s="86"/>
      <c r="AV19" s="86">
        <v>99.896517977000002</v>
      </c>
      <c r="AW19" s="86">
        <v>99.830169522999995</v>
      </c>
      <c r="AX19" s="86">
        <v>99.894213575999999</v>
      </c>
      <c r="AY19" s="87">
        <v>99.88</v>
      </c>
      <c r="AZ19" s="86">
        <v>99.865072579</v>
      </c>
      <c r="BA19" s="86">
        <v>99.883898184000003</v>
      </c>
      <c r="BB19" s="86">
        <v>99.869603045999995</v>
      </c>
    </row>
    <row r="20" spans="1:54">
      <c r="A20" s="77" t="s">
        <v>34</v>
      </c>
      <c r="B20" s="84"/>
      <c r="C20" s="84">
        <f>(C12/40.31)/(C12/40.31+C9*2/159.7)*100</f>
        <v>69.225134482336841</v>
      </c>
      <c r="D20" s="84">
        <f>(D12/40.31)/(D12/40.31+D9*2/159.7)*100</f>
        <v>70.930464686224809</v>
      </c>
      <c r="E20" s="84">
        <f>(E12/40.31)/(E12/40.31+E9*2/159.7)*100</f>
        <v>69.054432457212826</v>
      </c>
      <c r="F20" s="84">
        <f>(F12/40.31)/(F12/40.31+F9*2/159.7)*100</f>
        <v>67.685187801401852</v>
      </c>
      <c r="G20" s="84"/>
      <c r="H20" s="84">
        <v>57.561529568183303</v>
      </c>
      <c r="I20" s="84">
        <v>51.526411895083299</v>
      </c>
      <c r="J20" s="84">
        <v>43.208013564231699</v>
      </c>
      <c r="K20" s="84">
        <v>52.631286648857902</v>
      </c>
      <c r="L20" s="84">
        <v>34.010139232616297</v>
      </c>
      <c r="M20" s="84">
        <v>42.920960567162503</v>
      </c>
      <c r="N20" s="84">
        <v>49.715142111727197</v>
      </c>
      <c r="O20" s="84">
        <v>46.721449306398497</v>
      </c>
      <c r="P20" s="84">
        <v>55.0557058587585</v>
      </c>
      <c r="Q20" s="84">
        <v>56.571169035413</v>
      </c>
      <c r="R20" s="84">
        <v>50.475399269658503</v>
      </c>
      <c r="S20" s="84">
        <v>46.170665747676097</v>
      </c>
      <c r="T20" s="84">
        <v>44.180673164516598</v>
      </c>
      <c r="U20" s="84">
        <v>57.071628646312398</v>
      </c>
      <c r="V20" s="84">
        <v>39.1051239528718</v>
      </c>
      <c r="W20" s="84">
        <v>60.322648940640299</v>
      </c>
      <c r="X20" s="84">
        <f>(X12/40.31)/(X12/40.31+X9*2/159.7)*100</f>
        <v>61.54515962954401</v>
      </c>
      <c r="Y20" s="84">
        <v>63.017563773572398</v>
      </c>
      <c r="Z20" s="84">
        <v>47.275967973432202</v>
      </c>
      <c r="AA20" s="84">
        <v>54.157569900766397</v>
      </c>
      <c r="AB20" s="84">
        <v>41.246337616408397</v>
      </c>
      <c r="AC20" s="84">
        <v>46.037358076608399</v>
      </c>
      <c r="AD20" s="84">
        <v>54.8041024493008</v>
      </c>
      <c r="AE20" s="84">
        <v>41.7019857705858</v>
      </c>
      <c r="AF20" s="84">
        <v>40.549882688077297</v>
      </c>
      <c r="AG20" s="84">
        <v>42.084127076430498</v>
      </c>
      <c r="AH20" s="84">
        <v>50.732562483270598</v>
      </c>
      <c r="AI20" s="84">
        <v>42.431093636811603</v>
      </c>
      <c r="AJ20" s="84">
        <v>42.438761805623301</v>
      </c>
      <c r="AK20" s="84">
        <v>45.136926393781799</v>
      </c>
      <c r="AL20" s="84">
        <v>41.232673634711603</v>
      </c>
      <c r="AM20" s="84">
        <v>49.063448460422997</v>
      </c>
      <c r="AN20" s="84">
        <v>64.6940644644732</v>
      </c>
      <c r="AO20" s="84">
        <v>42.133262917991601</v>
      </c>
      <c r="AP20" s="84">
        <v>52.8162244108793</v>
      </c>
      <c r="AQ20" s="84">
        <v>53.807169230000603</v>
      </c>
      <c r="AR20" s="84">
        <v>50.698013046076902</v>
      </c>
      <c r="AS20" s="84">
        <v>49.335778666984702</v>
      </c>
      <c r="AT20" s="84">
        <v>48.889863806298699</v>
      </c>
      <c r="AU20" s="84"/>
      <c r="AV20" s="85">
        <v>56.6103255608258</v>
      </c>
      <c r="AW20" s="84">
        <v>50.510305854351699</v>
      </c>
      <c r="AX20" s="84">
        <v>44.271815447140582</v>
      </c>
      <c r="AY20" s="84">
        <f>(AY12/40.31)/(AY12/40.31+AY9*2/159.7)*100</f>
        <v>54.169426318593608</v>
      </c>
      <c r="AZ20" s="84">
        <v>53.452027368599303</v>
      </c>
      <c r="BA20" s="84">
        <v>47.946647007909903</v>
      </c>
      <c r="BB20" s="84">
        <v>49.154693452065402</v>
      </c>
    </row>
    <row r="21" spans="1:54">
      <c r="A21" s="77" t="s">
        <v>38</v>
      </c>
      <c r="B21" s="84"/>
      <c r="C21" s="84">
        <v>19.91</v>
      </c>
      <c r="D21" s="84">
        <v>8.8439999999999994</v>
      </c>
      <c r="E21" s="84">
        <v>16.82</v>
      </c>
      <c r="F21" s="84">
        <v>18.920000000000002</v>
      </c>
      <c r="G21" s="84"/>
      <c r="H21" s="84">
        <v>18.771999999999998</v>
      </c>
      <c r="I21" s="84">
        <v>14.71</v>
      </c>
      <c r="J21" s="84">
        <v>6.9119999999999999</v>
      </c>
      <c r="K21" s="84">
        <v>2.2240000000000002</v>
      </c>
      <c r="L21" s="84">
        <v>7.1959999999999997</v>
      </c>
      <c r="M21" s="84">
        <v>18.777999999999999</v>
      </c>
      <c r="N21" s="84">
        <v>11.13</v>
      </c>
      <c r="O21" s="84">
        <v>21.42</v>
      </c>
      <c r="P21" s="84">
        <v>8.4160000000000004</v>
      </c>
      <c r="Q21" s="84">
        <v>17.43</v>
      </c>
      <c r="R21" s="84">
        <v>13.456</v>
      </c>
      <c r="S21" s="84">
        <v>15.641999999999999</v>
      </c>
      <c r="T21" s="84">
        <v>9.2159999999999993</v>
      </c>
      <c r="U21" s="84">
        <v>16.052</v>
      </c>
      <c r="V21" s="84">
        <v>3.524</v>
      </c>
      <c r="W21" s="84">
        <v>8.0062354124456903</v>
      </c>
      <c r="X21" s="84">
        <v>8.4662130871719103</v>
      </c>
      <c r="Y21" s="84">
        <v>8.8058302348156694</v>
      </c>
      <c r="Z21" s="84">
        <v>9.7880000000000003</v>
      </c>
      <c r="AA21" s="84">
        <v>11.044</v>
      </c>
      <c r="AB21" s="84">
        <v>9.6180000000000003</v>
      </c>
      <c r="AC21" s="84">
        <v>4.8280000000000003</v>
      </c>
      <c r="AD21" s="84">
        <v>5.83</v>
      </c>
      <c r="AE21" s="84">
        <v>9.6739999999999995</v>
      </c>
      <c r="AF21" s="84">
        <v>4.532</v>
      </c>
      <c r="AG21" s="84">
        <v>6.31</v>
      </c>
      <c r="AH21" s="84">
        <v>11.215999999999999</v>
      </c>
      <c r="AI21" s="84">
        <v>5.5904982560280496</v>
      </c>
      <c r="AJ21" s="84">
        <v>7.2896625037076399</v>
      </c>
      <c r="AK21" s="84">
        <v>8.6366397820204206</v>
      </c>
      <c r="AL21" s="84">
        <v>5.5995451260062197</v>
      </c>
      <c r="AM21" s="84">
        <v>15.6</v>
      </c>
      <c r="AN21" s="84">
        <v>10.462</v>
      </c>
      <c r="AO21" s="84">
        <v>20.2</v>
      </c>
      <c r="AP21" s="84">
        <v>9.86</v>
      </c>
      <c r="AQ21" s="84">
        <v>11.666</v>
      </c>
      <c r="AR21" s="84">
        <v>15.696</v>
      </c>
      <c r="AS21" s="84">
        <v>16.265999999999998</v>
      </c>
      <c r="AT21" s="84">
        <v>19.795999999999999</v>
      </c>
      <c r="AU21" s="84"/>
      <c r="AV21" s="85">
        <v>11.891999999999999</v>
      </c>
      <c r="AW21" s="84">
        <v>18.45</v>
      </c>
      <c r="AX21" s="84">
        <v>13.83</v>
      </c>
      <c r="AY21" s="88">
        <v>19.545999999999999</v>
      </c>
      <c r="AZ21" s="84">
        <v>14.09</v>
      </c>
      <c r="BA21" s="84">
        <v>15.3</v>
      </c>
      <c r="BB21" s="84">
        <v>16.14</v>
      </c>
    </row>
    <row r="22" spans="1:54">
      <c r="A22" s="77" t="s">
        <v>39</v>
      </c>
      <c r="B22" s="84"/>
      <c r="C22" s="84">
        <v>34.840000000000003</v>
      </c>
      <c r="D22" s="84">
        <v>32</v>
      </c>
      <c r="E22" s="84">
        <v>32.08</v>
      </c>
      <c r="F22" s="84">
        <v>29.77</v>
      </c>
      <c r="G22" s="84"/>
      <c r="H22" s="84">
        <v>39.159999999999997</v>
      </c>
      <c r="I22" s="84">
        <v>35.299999999999997</v>
      </c>
      <c r="J22" s="84">
        <v>41.74</v>
      </c>
      <c r="K22" s="84">
        <v>41.28</v>
      </c>
      <c r="L22" s="84">
        <v>32.619999999999997</v>
      </c>
      <c r="M22" s="84">
        <v>29.18</v>
      </c>
      <c r="N22" s="84">
        <v>45.34</v>
      </c>
      <c r="O22" s="84">
        <v>50.96</v>
      </c>
      <c r="P22" s="84">
        <v>44.92</v>
      </c>
      <c r="Q22" s="84">
        <v>26.06</v>
      </c>
      <c r="R22" s="84">
        <v>42.98</v>
      </c>
      <c r="S22" s="84">
        <v>52.22</v>
      </c>
      <c r="T22" s="84">
        <v>43.8</v>
      </c>
      <c r="U22" s="84">
        <v>40.14</v>
      </c>
      <c r="V22" s="84">
        <v>43.22</v>
      </c>
      <c r="W22" s="84">
        <v>38.484441898556902</v>
      </c>
      <c r="X22" s="84">
        <v>37.537305087438597</v>
      </c>
      <c r="Y22" s="84">
        <v>37.159550257499802</v>
      </c>
      <c r="Z22" s="84">
        <v>44</v>
      </c>
      <c r="AA22" s="84">
        <v>41.52</v>
      </c>
      <c r="AB22" s="84">
        <v>43.5</v>
      </c>
      <c r="AC22" s="84">
        <v>35</v>
      </c>
      <c r="AD22" s="84">
        <v>30.06</v>
      </c>
      <c r="AE22" s="84">
        <v>29.44</v>
      </c>
      <c r="AF22" s="84">
        <v>29.58</v>
      </c>
      <c r="AG22" s="84">
        <v>29.96</v>
      </c>
      <c r="AH22" s="84">
        <v>29.32</v>
      </c>
      <c r="AI22" s="84">
        <v>29.815886925888201</v>
      </c>
      <c r="AJ22" s="84">
        <v>30.737745762615901</v>
      </c>
      <c r="AK22" s="84">
        <v>32.105495155568804</v>
      </c>
      <c r="AL22" s="84">
        <v>45.070179322074999</v>
      </c>
      <c r="AM22" s="84">
        <v>45.52</v>
      </c>
      <c r="AN22" s="84">
        <v>42.1</v>
      </c>
      <c r="AO22" s="84">
        <v>50.28</v>
      </c>
      <c r="AP22" s="84">
        <v>43.06</v>
      </c>
      <c r="AQ22" s="84">
        <v>33.68</v>
      </c>
      <c r="AR22" s="84">
        <v>51.24</v>
      </c>
      <c r="AS22" s="84">
        <v>45.28</v>
      </c>
      <c r="AT22" s="84">
        <v>37.46</v>
      </c>
      <c r="AU22" s="84"/>
      <c r="AV22" s="85">
        <v>32.6</v>
      </c>
      <c r="AW22" s="84">
        <v>21.64</v>
      </c>
      <c r="AX22" s="84">
        <v>20.68</v>
      </c>
      <c r="AY22" s="88">
        <v>10.704000000000001</v>
      </c>
      <c r="AZ22" s="84">
        <v>21.08</v>
      </c>
      <c r="BA22" s="84">
        <v>24.46</v>
      </c>
      <c r="BB22" s="84">
        <v>23.14</v>
      </c>
    </row>
    <row r="23" spans="1:54">
      <c r="A23" s="77" t="s">
        <v>40</v>
      </c>
      <c r="B23" s="84"/>
      <c r="C23" s="84">
        <v>141.08000000000001</v>
      </c>
      <c r="D23" s="84">
        <v>118.3</v>
      </c>
      <c r="E23" s="84">
        <v>144.44</v>
      </c>
      <c r="F23" s="84">
        <v>138.03</v>
      </c>
      <c r="G23" s="84"/>
      <c r="H23" s="84">
        <v>267.60000000000002</v>
      </c>
      <c r="I23" s="84">
        <v>286.39999999999998</v>
      </c>
      <c r="J23" s="84">
        <v>432</v>
      </c>
      <c r="K23" s="84">
        <v>374.4</v>
      </c>
      <c r="L23" s="84">
        <v>326.8</v>
      </c>
      <c r="M23" s="84">
        <v>296.8</v>
      </c>
      <c r="N23" s="84">
        <v>404.4</v>
      </c>
      <c r="O23" s="84">
        <v>365</v>
      </c>
      <c r="P23" s="84">
        <v>341.8</v>
      </c>
      <c r="Q23" s="84">
        <v>192.9</v>
      </c>
      <c r="R23" s="84">
        <v>353.2</v>
      </c>
      <c r="S23" s="84">
        <v>467</v>
      </c>
      <c r="T23" s="84">
        <v>375</v>
      </c>
      <c r="U23" s="84">
        <v>237.8</v>
      </c>
      <c r="V23" s="84">
        <v>304.2</v>
      </c>
      <c r="W23" s="84">
        <v>223.65095190750901</v>
      </c>
      <c r="X23" s="84">
        <v>222.48784270457199</v>
      </c>
      <c r="Y23" s="84">
        <v>265.28753430482402</v>
      </c>
      <c r="Z23" s="84">
        <v>315</v>
      </c>
      <c r="AA23" s="84">
        <v>310.60000000000002</v>
      </c>
      <c r="AB23" s="84">
        <v>384.2</v>
      </c>
      <c r="AC23" s="84">
        <v>378.4</v>
      </c>
      <c r="AD23" s="84">
        <v>203</v>
      </c>
      <c r="AE23" s="84">
        <v>378.2</v>
      </c>
      <c r="AF23" s="84">
        <v>322.39999999999998</v>
      </c>
      <c r="AG23" s="84">
        <v>342.6</v>
      </c>
      <c r="AH23" s="84">
        <v>201.6</v>
      </c>
      <c r="AI23" s="84">
        <v>338.932446987942</v>
      </c>
      <c r="AJ23" s="84">
        <v>348.57154649682298</v>
      </c>
      <c r="AK23" s="84">
        <v>339.89408067961898</v>
      </c>
      <c r="AL23" s="84">
        <v>353.26450741497501</v>
      </c>
      <c r="AM23" s="84">
        <v>300.2</v>
      </c>
      <c r="AN23" s="84">
        <v>232.8</v>
      </c>
      <c r="AO23" s="84">
        <v>462.2</v>
      </c>
      <c r="AP23" s="84">
        <v>260.60000000000002</v>
      </c>
      <c r="AQ23" s="84">
        <v>239</v>
      </c>
      <c r="AR23" s="84">
        <v>352.6</v>
      </c>
      <c r="AS23" s="84">
        <v>384.8</v>
      </c>
      <c r="AT23" s="84">
        <v>311.60000000000002</v>
      </c>
      <c r="AU23" s="84"/>
      <c r="AV23" s="85">
        <v>221.6</v>
      </c>
      <c r="AW23" s="84">
        <v>188.58</v>
      </c>
      <c r="AX23" s="84">
        <v>143.08000000000001</v>
      </c>
      <c r="AY23" s="88">
        <v>82.82</v>
      </c>
      <c r="AZ23" s="84">
        <v>181.08</v>
      </c>
      <c r="BA23" s="84">
        <v>169.24</v>
      </c>
      <c r="BB23" s="84">
        <v>200.4</v>
      </c>
    </row>
    <row r="24" spans="1:54">
      <c r="A24" s="77" t="s">
        <v>41</v>
      </c>
      <c r="B24" s="84"/>
      <c r="C24" s="84">
        <v>157.02000000000001</v>
      </c>
      <c r="D24" s="84">
        <v>486.4</v>
      </c>
      <c r="E24" s="84">
        <v>809.2</v>
      </c>
      <c r="F24" s="84">
        <v>643.73</v>
      </c>
      <c r="G24" s="84"/>
      <c r="H24" s="84">
        <v>232.2</v>
      </c>
      <c r="I24" s="84">
        <v>133.74</v>
      </c>
      <c r="J24" s="84">
        <v>78.38</v>
      </c>
      <c r="K24" s="84">
        <v>169.14</v>
      </c>
      <c r="L24" s="84">
        <v>107.62</v>
      </c>
      <c r="M24" s="84">
        <v>47.4</v>
      </c>
      <c r="N24" s="84">
        <v>101.02</v>
      </c>
      <c r="O24" s="84">
        <v>269.60000000000002</v>
      </c>
      <c r="P24" s="84">
        <v>280.8</v>
      </c>
      <c r="Q24" s="84">
        <v>103.94</v>
      </c>
      <c r="R24" s="84">
        <v>166.98</v>
      </c>
      <c r="S24" s="84">
        <v>70.38</v>
      </c>
      <c r="T24" s="84">
        <v>91.78</v>
      </c>
      <c r="U24" s="84">
        <v>317.60000000000002</v>
      </c>
      <c r="V24" s="84">
        <v>226.2</v>
      </c>
      <c r="W24" s="84">
        <v>293.33606042609699</v>
      </c>
      <c r="X24" s="84">
        <v>283.65434110940299</v>
      </c>
      <c r="Y24" s="84">
        <v>846.04192491332901</v>
      </c>
      <c r="Z24" s="84">
        <v>136.68</v>
      </c>
      <c r="AA24" s="84">
        <v>163.58000000000001</v>
      </c>
      <c r="AB24" s="84">
        <v>96.82</v>
      </c>
      <c r="AC24" s="84">
        <v>76.819999999999993</v>
      </c>
      <c r="AD24" s="84">
        <v>222.4</v>
      </c>
      <c r="AE24" s="84">
        <v>10.214</v>
      </c>
      <c r="AF24" s="84">
        <v>71.44</v>
      </c>
      <c r="AG24" s="84">
        <v>93.42</v>
      </c>
      <c r="AH24" s="84">
        <v>167.48</v>
      </c>
      <c r="AI24" s="84">
        <v>22.675313399575</v>
      </c>
      <c r="AJ24" s="84">
        <v>30.2545668143261</v>
      </c>
      <c r="AK24" s="84">
        <v>118.720345816327</v>
      </c>
      <c r="AL24" s="84">
        <v>90.745481151054094</v>
      </c>
      <c r="AM24" s="84">
        <v>170.64</v>
      </c>
      <c r="AN24" s="84">
        <v>390.4</v>
      </c>
      <c r="AO24" s="84">
        <v>159.56</v>
      </c>
      <c r="AP24" s="84">
        <v>130.47999999999999</v>
      </c>
      <c r="AQ24" s="84">
        <v>180.9</v>
      </c>
      <c r="AR24" s="84">
        <v>87.22</v>
      </c>
      <c r="AS24" s="84">
        <v>213</v>
      </c>
      <c r="AT24" s="84">
        <v>291.39999999999998</v>
      </c>
      <c r="AU24" s="84"/>
      <c r="AV24" s="85">
        <v>91.9</v>
      </c>
      <c r="AW24" s="84">
        <v>125.54</v>
      </c>
      <c r="AX24" s="84">
        <v>57.26</v>
      </c>
      <c r="AY24" s="88">
        <v>69.459999999999994</v>
      </c>
      <c r="AZ24" s="84">
        <v>248.4</v>
      </c>
      <c r="BA24" s="84">
        <v>104.5</v>
      </c>
      <c r="BB24" s="84">
        <v>120.7</v>
      </c>
    </row>
    <row r="25" spans="1:54">
      <c r="A25" s="77" t="s">
        <v>42</v>
      </c>
      <c r="B25" s="84"/>
      <c r="C25" s="84">
        <v>39.68</v>
      </c>
      <c r="D25" s="84">
        <v>33.6</v>
      </c>
      <c r="E25" s="84">
        <v>42.86</v>
      </c>
      <c r="F25" s="84">
        <v>39.64</v>
      </c>
      <c r="G25" s="84"/>
      <c r="H25" s="84">
        <v>48.4</v>
      </c>
      <c r="I25" s="84">
        <v>42.38</v>
      </c>
      <c r="J25" s="84">
        <v>50.86</v>
      </c>
      <c r="K25" s="84">
        <v>43.94</v>
      </c>
      <c r="L25" s="84">
        <v>44.78</v>
      </c>
      <c r="M25" s="84">
        <v>32.54</v>
      </c>
      <c r="N25" s="84">
        <v>49.22</v>
      </c>
      <c r="O25" s="84">
        <v>58.22</v>
      </c>
      <c r="P25" s="84">
        <v>51</v>
      </c>
      <c r="Q25" s="84">
        <v>39.200000000000003</v>
      </c>
      <c r="R25" s="84">
        <v>50.14</v>
      </c>
      <c r="S25" s="84">
        <v>47.02</v>
      </c>
      <c r="T25" s="84">
        <v>46.94</v>
      </c>
      <c r="U25" s="84">
        <v>43.52</v>
      </c>
      <c r="V25" s="84">
        <v>41.68</v>
      </c>
      <c r="W25" s="84">
        <v>48.936765628342997</v>
      </c>
      <c r="X25" s="84">
        <v>49.791968047341399</v>
      </c>
      <c r="Y25" s="84">
        <v>65.754819292072</v>
      </c>
      <c r="Z25" s="84">
        <v>45.72</v>
      </c>
      <c r="AA25" s="84">
        <v>50.46</v>
      </c>
      <c r="AB25" s="84">
        <v>52.36</v>
      </c>
      <c r="AC25" s="84">
        <v>56.48</v>
      </c>
      <c r="AD25" s="84">
        <v>41.46</v>
      </c>
      <c r="AE25" s="84">
        <v>53.04</v>
      </c>
      <c r="AF25" s="84">
        <v>68.400000000000006</v>
      </c>
      <c r="AG25" s="84">
        <v>59.7</v>
      </c>
      <c r="AH25" s="84">
        <v>38.44</v>
      </c>
      <c r="AI25" s="84">
        <v>59.6530522830259</v>
      </c>
      <c r="AJ25" s="84">
        <v>64.463110679827395</v>
      </c>
      <c r="AK25" s="84">
        <v>56.556483965503901</v>
      </c>
      <c r="AL25" s="84">
        <v>56.179452700614299</v>
      </c>
      <c r="AM25" s="84">
        <v>49.08</v>
      </c>
      <c r="AN25" s="84">
        <v>49.48</v>
      </c>
      <c r="AO25" s="84">
        <v>53.68</v>
      </c>
      <c r="AP25" s="84">
        <v>43.38</v>
      </c>
      <c r="AQ25" s="84">
        <v>40.9</v>
      </c>
      <c r="AR25" s="84">
        <v>56.48</v>
      </c>
      <c r="AS25" s="84">
        <v>41.14</v>
      </c>
      <c r="AT25" s="84">
        <v>50.86</v>
      </c>
      <c r="AU25" s="84"/>
      <c r="AV25" s="85">
        <v>46.46</v>
      </c>
      <c r="AW25" s="84">
        <v>26.36</v>
      </c>
      <c r="AX25" s="84">
        <v>26.18</v>
      </c>
      <c r="AY25" s="88">
        <v>14.596</v>
      </c>
      <c r="AZ25" s="84">
        <v>35.979999999999997</v>
      </c>
      <c r="BA25" s="84">
        <v>31.12</v>
      </c>
      <c r="BB25" s="84">
        <v>30.38</v>
      </c>
    </row>
    <row r="26" spans="1:54">
      <c r="A26" s="77" t="s">
        <v>43</v>
      </c>
      <c r="B26" s="84"/>
      <c r="C26" s="84">
        <v>114.44</v>
      </c>
      <c r="D26" s="84">
        <v>185.96</v>
      </c>
      <c r="E26" s="84">
        <v>202</v>
      </c>
      <c r="F26" s="84">
        <v>194.76</v>
      </c>
      <c r="G26" s="84"/>
      <c r="H26" s="84">
        <v>131.06</v>
      </c>
      <c r="I26" s="84">
        <v>83.3</v>
      </c>
      <c r="J26" s="84">
        <v>61.42</v>
      </c>
      <c r="K26" s="84">
        <v>88.4</v>
      </c>
      <c r="L26" s="84">
        <v>78.739999999999995</v>
      </c>
      <c r="M26" s="84">
        <v>32.200000000000003</v>
      </c>
      <c r="N26" s="84">
        <v>72.58</v>
      </c>
      <c r="O26" s="84">
        <v>108.88</v>
      </c>
      <c r="P26" s="84">
        <v>120.26</v>
      </c>
      <c r="Q26" s="84">
        <v>102.52</v>
      </c>
      <c r="R26" s="84">
        <v>92.8</v>
      </c>
      <c r="S26" s="84">
        <v>50.36</v>
      </c>
      <c r="T26" s="84">
        <v>58.02</v>
      </c>
      <c r="U26" s="84">
        <v>139.76</v>
      </c>
      <c r="V26" s="84">
        <v>66.92</v>
      </c>
      <c r="W26" s="84">
        <v>159.732200945334</v>
      </c>
      <c r="X26" s="84">
        <v>162.770426436121</v>
      </c>
      <c r="Y26" s="84">
        <v>373.86592329165899</v>
      </c>
      <c r="Z26" s="84">
        <v>59.58</v>
      </c>
      <c r="AA26" s="84">
        <v>114.9</v>
      </c>
      <c r="AB26" s="84">
        <v>71.14</v>
      </c>
      <c r="AC26" s="84">
        <v>95.84</v>
      </c>
      <c r="AD26" s="84">
        <v>141.46</v>
      </c>
      <c r="AE26" s="84">
        <v>61.38</v>
      </c>
      <c r="AF26" s="84">
        <v>95.92</v>
      </c>
      <c r="AG26" s="84">
        <v>89.76</v>
      </c>
      <c r="AH26" s="84">
        <v>121.78</v>
      </c>
      <c r="AI26" s="84">
        <v>81.578640145627205</v>
      </c>
      <c r="AJ26" s="84">
        <v>90.9172353724136</v>
      </c>
      <c r="AK26" s="84">
        <v>87.647362279963701</v>
      </c>
      <c r="AL26" s="84">
        <v>69.211265966966906</v>
      </c>
      <c r="AM26" s="84">
        <v>65.760000000000005</v>
      </c>
      <c r="AN26" s="84">
        <v>283.60000000000002</v>
      </c>
      <c r="AO26" s="84">
        <v>78.8</v>
      </c>
      <c r="AP26" s="84">
        <v>52.32</v>
      </c>
      <c r="AQ26" s="84">
        <v>84.02</v>
      </c>
      <c r="AR26" s="84">
        <v>83.96</v>
      </c>
      <c r="AS26" s="84">
        <v>64.84</v>
      </c>
      <c r="AT26" s="84">
        <v>126.14</v>
      </c>
      <c r="AU26" s="84"/>
      <c r="AV26" s="85">
        <v>138.16</v>
      </c>
      <c r="AW26" s="84">
        <v>68.94</v>
      </c>
      <c r="AX26" s="84">
        <v>52.72</v>
      </c>
      <c r="AY26" s="88">
        <v>56.48</v>
      </c>
      <c r="AZ26" s="84">
        <v>162.62</v>
      </c>
      <c r="BA26" s="84">
        <v>62</v>
      </c>
      <c r="BB26" s="84">
        <v>43.98</v>
      </c>
    </row>
    <row r="27" spans="1:54">
      <c r="A27" s="77" t="s">
        <v>44</v>
      </c>
      <c r="B27" s="84"/>
      <c r="C27" s="84">
        <v>26.24</v>
      </c>
      <c r="D27" s="84">
        <v>16.207999999999998</v>
      </c>
      <c r="E27" s="84">
        <v>3.07</v>
      </c>
      <c r="F27" s="84">
        <v>3.86</v>
      </c>
      <c r="G27" s="84"/>
      <c r="H27" s="84">
        <v>115.8</v>
      </c>
      <c r="I27" s="84">
        <v>87.92</v>
      </c>
      <c r="J27" s="84">
        <v>28.4</v>
      </c>
      <c r="K27" s="84">
        <v>133.32</v>
      </c>
      <c r="L27" s="84">
        <v>197.22</v>
      </c>
      <c r="M27" s="84">
        <v>35.26</v>
      </c>
      <c r="N27" s="84">
        <v>25.12</v>
      </c>
      <c r="O27" s="84">
        <v>73.14</v>
      </c>
      <c r="P27" s="84">
        <v>20.54</v>
      </c>
      <c r="Q27" s="84">
        <v>77.42</v>
      </c>
      <c r="R27" s="84">
        <v>187.06</v>
      </c>
      <c r="S27" s="84">
        <v>30.26</v>
      </c>
      <c r="T27" s="84">
        <v>76.5</v>
      </c>
      <c r="U27" s="84">
        <v>106.8</v>
      </c>
      <c r="V27" s="84">
        <v>94.7</v>
      </c>
      <c r="W27" s="84">
        <v>70.966343123472896</v>
      </c>
      <c r="X27" s="84">
        <v>77.532934981467605</v>
      </c>
      <c r="Y27" s="84">
        <v>32.5818533336614</v>
      </c>
      <c r="Z27" s="84">
        <v>131.22</v>
      </c>
      <c r="AA27" s="84">
        <v>102.34</v>
      </c>
      <c r="AB27" s="84">
        <v>82.68</v>
      </c>
      <c r="AC27" s="84">
        <v>111.34</v>
      </c>
      <c r="AD27" s="84">
        <v>80.040000000000006</v>
      </c>
      <c r="AE27" s="84">
        <v>155.76</v>
      </c>
      <c r="AF27" s="84">
        <v>630.6</v>
      </c>
      <c r="AG27" s="84">
        <v>93.04</v>
      </c>
      <c r="AH27" s="84">
        <v>46.22</v>
      </c>
      <c r="AI27" s="84">
        <v>148.65172149444001</v>
      </c>
      <c r="AJ27" s="84">
        <v>199.486887519937</v>
      </c>
      <c r="AK27" s="84">
        <v>133.50197325469099</v>
      </c>
      <c r="AL27" s="84">
        <v>117.22146295651901</v>
      </c>
      <c r="AM27" s="84">
        <v>87.4</v>
      </c>
      <c r="AN27" s="84">
        <v>29.48</v>
      </c>
      <c r="AO27" s="84">
        <v>89.26</v>
      </c>
      <c r="AP27" s="84">
        <v>94.6</v>
      </c>
      <c r="AQ27" s="84">
        <v>11.568</v>
      </c>
      <c r="AR27" s="84">
        <v>81.02</v>
      </c>
      <c r="AS27" s="84">
        <v>109.74</v>
      </c>
      <c r="AT27" s="84">
        <v>76.52</v>
      </c>
      <c r="AU27" s="84"/>
      <c r="AV27" s="85">
        <v>15.62</v>
      </c>
      <c r="AW27" s="84">
        <v>31.84</v>
      </c>
      <c r="AX27" s="84">
        <v>27.86</v>
      </c>
      <c r="AY27" s="88">
        <v>7.67</v>
      </c>
      <c r="AZ27" s="84">
        <v>16.004000000000001</v>
      </c>
      <c r="BA27" s="84">
        <v>35.200000000000003</v>
      </c>
      <c r="BB27" s="84">
        <v>5.89</v>
      </c>
    </row>
    <row r="28" spans="1:54">
      <c r="A28" s="77" t="s">
        <v>45</v>
      </c>
      <c r="B28" s="84"/>
      <c r="C28" s="84">
        <v>64.34</v>
      </c>
      <c r="D28" s="84">
        <v>48.3</v>
      </c>
      <c r="E28" s="84">
        <v>86.86</v>
      </c>
      <c r="F28" s="84">
        <v>91.82</v>
      </c>
      <c r="G28" s="84"/>
      <c r="H28" s="84">
        <v>108.64</v>
      </c>
      <c r="I28" s="84">
        <v>98.24</v>
      </c>
      <c r="J28" s="84">
        <v>163.41999999999999</v>
      </c>
      <c r="K28" s="84">
        <v>110.02</v>
      </c>
      <c r="L28" s="84">
        <v>119.52</v>
      </c>
      <c r="M28" s="84">
        <v>127.48</v>
      </c>
      <c r="N28" s="84">
        <v>139.91999999999999</v>
      </c>
      <c r="O28" s="84">
        <v>120.42</v>
      </c>
      <c r="P28" s="84">
        <v>111.78</v>
      </c>
      <c r="Q28" s="84">
        <v>100.38</v>
      </c>
      <c r="R28" s="84">
        <v>127.74</v>
      </c>
      <c r="S28" s="84">
        <v>102.98</v>
      </c>
      <c r="T28" s="84">
        <v>105.08</v>
      </c>
      <c r="U28" s="84">
        <v>81.42</v>
      </c>
      <c r="V28" s="84">
        <v>96.06</v>
      </c>
      <c r="W28" s="84">
        <v>71.121222848354805</v>
      </c>
      <c r="X28" s="84">
        <v>67.666040657353705</v>
      </c>
      <c r="Y28" s="84">
        <v>113.577210294708</v>
      </c>
      <c r="Z28" s="84">
        <v>133.96</v>
      </c>
      <c r="AA28" s="84">
        <v>96.18</v>
      </c>
      <c r="AB28" s="84">
        <v>164.94</v>
      </c>
      <c r="AC28" s="84">
        <v>110.58</v>
      </c>
      <c r="AD28" s="84">
        <v>83.62</v>
      </c>
      <c r="AE28" s="84">
        <v>122.44</v>
      </c>
      <c r="AF28" s="84">
        <v>131.88</v>
      </c>
      <c r="AG28" s="84">
        <v>142</v>
      </c>
      <c r="AH28" s="84">
        <v>127.04</v>
      </c>
      <c r="AI28" s="84">
        <v>121.06561141831899</v>
      </c>
      <c r="AJ28" s="84">
        <v>131.712183058672</v>
      </c>
      <c r="AK28" s="84">
        <v>128.79931737168201</v>
      </c>
      <c r="AL28" s="84">
        <v>138.24257925039799</v>
      </c>
      <c r="AM28" s="84">
        <v>101.54</v>
      </c>
      <c r="AN28" s="84">
        <v>108.7</v>
      </c>
      <c r="AO28" s="84">
        <v>130.84</v>
      </c>
      <c r="AP28" s="84">
        <v>101</v>
      </c>
      <c r="AQ28" s="84">
        <v>103.46</v>
      </c>
      <c r="AR28" s="84">
        <v>121.92</v>
      </c>
      <c r="AS28" s="84">
        <v>92.48</v>
      </c>
      <c r="AT28" s="84">
        <v>104.22</v>
      </c>
      <c r="AU28" s="84"/>
      <c r="AV28" s="85">
        <v>102.24</v>
      </c>
      <c r="AW28" s="84">
        <v>178.78</v>
      </c>
      <c r="AX28" s="84">
        <v>88.26</v>
      </c>
      <c r="AY28" s="88">
        <v>67.959999999999994</v>
      </c>
      <c r="AZ28" s="84">
        <v>105.04</v>
      </c>
      <c r="BA28" s="84">
        <v>91.36</v>
      </c>
      <c r="BB28" s="84">
        <v>102.98</v>
      </c>
    </row>
    <row r="29" spans="1:54">
      <c r="A29" s="77" t="s">
        <v>46</v>
      </c>
      <c r="B29" s="84"/>
      <c r="C29" s="84">
        <v>12.837999999999999</v>
      </c>
      <c r="D29" s="84">
        <v>13.32</v>
      </c>
      <c r="E29" s="84">
        <v>14.62</v>
      </c>
      <c r="F29" s="84">
        <v>14.39</v>
      </c>
      <c r="G29" s="84"/>
      <c r="H29" s="84">
        <v>15.378</v>
      </c>
      <c r="I29" s="84">
        <v>15.544</v>
      </c>
      <c r="J29" s="84">
        <v>22.92</v>
      </c>
      <c r="K29" s="84">
        <v>18.73</v>
      </c>
      <c r="L29" s="84">
        <v>18.327999999999999</v>
      </c>
      <c r="M29" s="84">
        <v>20.46</v>
      </c>
      <c r="N29" s="84">
        <v>19.68</v>
      </c>
      <c r="O29" s="84">
        <v>17.582000000000001</v>
      </c>
      <c r="P29" s="84">
        <v>18.646000000000001</v>
      </c>
      <c r="Q29" s="84">
        <v>19.294</v>
      </c>
      <c r="R29" s="84">
        <v>17.968</v>
      </c>
      <c r="S29" s="84">
        <v>19.728000000000002</v>
      </c>
      <c r="T29" s="84">
        <v>18.228000000000002</v>
      </c>
      <c r="U29" s="84">
        <v>14.346</v>
      </c>
      <c r="V29" s="84">
        <v>20.18</v>
      </c>
      <c r="W29" s="84">
        <v>14.843433646914599</v>
      </c>
      <c r="X29" s="84">
        <v>14.779248774278701</v>
      </c>
      <c r="Y29" s="84">
        <v>13.9300947895857</v>
      </c>
      <c r="Z29" s="84">
        <v>20.100000000000001</v>
      </c>
      <c r="AA29" s="84">
        <v>16.718</v>
      </c>
      <c r="AB29" s="84">
        <v>17.956</v>
      </c>
      <c r="AC29" s="84">
        <v>17.898</v>
      </c>
      <c r="AD29" s="84">
        <v>15.465999999999999</v>
      </c>
      <c r="AE29" s="84">
        <v>18.23</v>
      </c>
      <c r="AF29" s="84">
        <v>19.564</v>
      </c>
      <c r="AG29" s="84">
        <v>20.22</v>
      </c>
      <c r="AH29" s="84">
        <v>20.28</v>
      </c>
      <c r="AI29" s="84">
        <v>18.573166553559702</v>
      </c>
      <c r="AJ29" s="84">
        <v>19.208449420319599</v>
      </c>
      <c r="AK29" s="84">
        <v>20.726022235404301</v>
      </c>
      <c r="AL29" s="84">
        <v>18.428651611707199</v>
      </c>
      <c r="AM29" s="84">
        <v>16.084</v>
      </c>
      <c r="AN29" s="84">
        <v>17.399999999999999</v>
      </c>
      <c r="AO29" s="84">
        <v>20.56</v>
      </c>
      <c r="AP29" s="84">
        <v>15.64</v>
      </c>
      <c r="AQ29" s="84">
        <v>17.402000000000001</v>
      </c>
      <c r="AR29" s="84">
        <v>17.417999999999999</v>
      </c>
      <c r="AS29" s="84">
        <v>15.866</v>
      </c>
      <c r="AT29" s="84">
        <v>19.096</v>
      </c>
      <c r="AU29" s="84"/>
      <c r="AV29" s="85">
        <v>17.515999999999998</v>
      </c>
      <c r="AW29" s="84">
        <v>20.420000000000002</v>
      </c>
      <c r="AX29" s="84">
        <v>16.456</v>
      </c>
      <c r="AY29" s="88">
        <v>19.398</v>
      </c>
      <c r="AZ29" s="84">
        <v>19.155999999999999</v>
      </c>
      <c r="BA29" s="84">
        <v>18.452000000000002</v>
      </c>
      <c r="BB29" s="84">
        <v>20.72</v>
      </c>
    </row>
    <row r="30" spans="1:54">
      <c r="A30" s="77" t="s">
        <v>47</v>
      </c>
      <c r="B30" s="84"/>
      <c r="C30" s="84">
        <v>60.34</v>
      </c>
      <c r="D30" s="84">
        <v>26.82</v>
      </c>
      <c r="E30" s="84">
        <v>30.74</v>
      </c>
      <c r="F30" s="84">
        <v>65.36</v>
      </c>
      <c r="G30" s="84"/>
      <c r="H30" s="84">
        <v>11.098000000000001</v>
      </c>
      <c r="I30" s="84">
        <v>11.318</v>
      </c>
      <c r="J30" s="84">
        <v>15.342000000000001</v>
      </c>
      <c r="K30" s="84">
        <v>1.202</v>
      </c>
      <c r="L30" s="84">
        <v>28.6</v>
      </c>
      <c r="M30" s="84">
        <v>47.16</v>
      </c>
      <c r="N30" s="84">
        <v>18.544</v>
      </c>
      <c r="O30" s="84">
        <v>7.9820000000000002</v>
      </c>
      <c r="P30" s="84">
        <v>14.86</v>
      </c>
      <c r="Q30" s="84">
        <v>18.885999999999999</v>
      </c>
      <c r="R30" s="84">
        <v>16.664000000000001</v>
      </c>
      <c r="S30" s="84">
        <v>25.22</v>
      </c>
      <c r="T30" s="84">
        <v>10.375999999999999</v>
      </c>
      <c r="U30" s="84">
        <v>19.420000000000002</v>
      </c>
      <c r="V30" s="84">
        <v>7.3360000000000003</v>
      </c>
      <c r="W30" s="84">
        <v>16.675808846301901</v>
      </c>
      <c r="X30" s="84">
        <v>18.371551529625599</v>
      </c>
      <c r="Y30" s="84">
        <v>6.2859014229455301</v>
      </c>
      <c r="Z30" s="84">
        <v>19.065999999999999</v>
      </c>
      <c r="AA30" s="84">
        <v>20.34</v>
      </c>
      <c r="AB30" s="84">
        <v>20.9</v>
      </c>
      <c r="AC30" s="84">
        <v>9.9160000000000004</v>
      </c>
      <c r="AD30" s="84">
        <v>12.276</v>
      </c>
      <c r="AE30" s="84">
        <v>13.294</v>
      </c>
      <c r="AF30" s="84">
        <v>10.214</v>
      </c>
      <c r="AG30" s="84">
        <v>14.18</v>
      </c>
      <c r="AH30" s="84">
        <v>11.914</v>
      </c>
      <c r="AI30" s="84">
        <v>13.6632229573493</v>
      </c>
      <c r="AJ30" s="84">
        <v>14.0439968515791</v>
      </c>
      <c r="AK30" s="84">
        <v>16.386417311442798</v>
      </c>
      <c r="AL30" s="84">
        <v>24.612498415468501</v>
      </c>
      <c r="AM30" s="84">
        <v>14.023999999999999</v>
      </c>
      <c r="AN30" s="84">
        <v>6.758</v>
      </c>
      <c r="AO30" s="84">
        <v>14.404</v>
      </c>
      <c r="AP30" s="84">
        <v>12.452</v>
      </c>
      <c r="AQ30" s="84">
        <v>6.4980000000000002</v>
      </c>
      <c r="AR30" s="84">
        <v>7.02</v>
      </c>
      <c r="AS30" s="84">
        <v>16.184000000000001</v>
      </c>
      <c r="AT30" s="84">
        <v>34.96</v>
      </c>
      <c r="AU30" s="84"/>
      <c r="AV30" s="85">
        <v>14.204000000000001</v>
      </c>
      <c r="AW30" s="84">
        <v>67.56</v>
      </c>
      <c r="AX30" s="84">
        <v>16.584</v>
      </c>
      <c r="AY30" s="88">
        <v>34.840000000000003</v>
      </c>
      <c r="AZ30" s="84">
        <v>10.103999999999999</v>
      </c>
      <c r="BA30" s="84">
        <v>4.8040000000000003</v>
      </c>
      <c r="BB30" s="84">
        <v>39.06</v>
      </c>
    </row>
    <row r="31" spans="1:54">
      <c r="A31" s="77" t="s">
        <v>48</v>
      </c>
      <c r="B31" s="84"/>
      <c r="C31" s="84">
        <v>222.2</v>
      </c>
      <c r="D31" s="84">
        <v>217.4</v>
      </c>
      <c r="E31" s="84">
        <v>333.4</v>
      </c>
      <c r="F31" s="84">
        <v>602.53</v>
      </c>
      <c r="G31" s="84"/>
      <c r="H31" s="84">
        <v>176.72</v>
      </c>
      <c r="I31" s="84">
        <v>116.16</v>
      </c>
      <c r="J31" s="84">
        <v>154.76</v>
      </c>
      <c r="K31" s="84">
        <v>150.56</v>
      </c>
      <c r="L31" s="84">
        <v>462.4</v>
      </c>
      <c r="M31" s="84">
        <v>410</v>
      </c>
      <c r="N31" s="84">
        <v>244.4</v>
      </c>
      <c r="O31" s="84">
        <v>203.2</v>
      </c>
      <c r="P31" s="84">
        <v>73.86</v>
      </c>
      <c r="Q31" s="84">
        <v>607.4</v>
      </c>
      <c r="R31" s="84">
        <v>189.76</v>
      </c>
      <c r="S31" s="84">
        <v>171.64</v>
      </c>
      <c r="T31" s="84">
        <v>167.46</v>
      </c>
      <c r="U31" s="84">
        <v>100.22</v>
      </c>
      <c r="V31" s="84">
        <v>339.4</v>
      </c>
      <c r="W31" s="84">
        <v>174.840091331015</v>
      </c>
      <c r="X31" s="84">
        <v>137.274175505177</v>
      </c>
      <c r="Y31" s="84">
        <v>49.686737180358698</v>
      </c>
      <c r="Z31" s="84">
        <v>187.94</v>
      </c>
      <c r="AA31" s="84">
        <v>95.2</v>
      </c>
      <c r="AB31" s="84">
        <v>141.86000000000001</v>
      </c>
      <c r="AC31" s="84">
        <v>143.02000000000001</v>
      </c>
      <c r="AD31" s="84">
        <v>235.8</v>
      </c>
      <c r="AE31" s="84">
        <v>150.22</v>
      </c>
      <c r="AF31" s="84">
        <v>232</v>
      </c>
      <c r="AG31" s="84">
        <v>160.12</v>
      </c>
      <c r="AH31" s="84">
        <v>324.60000000000002</v>
      </c>
      <c r="AI31" s="84">
        <v>110.412670708636</v>
      </c>
      <c r="AJ31" s="84">
        <v>123.731333336847</v>
      </c>
      <c r="AK31" s="84">
        <v>104.872461898277</v>
      </c>
      <c r="AL31" s="84">
        <v>146.763546481806</v>
      </c>
      <c r="AM31" s="84">
        <v>164.1</v>
      </c>
      <c r="AN31" s="84">
        <v>252.8</v>
      </c>
      <c r="AO31" s="84">
        <v>355.6</v>
      </c>
      <c r="AP31" s="84">
        <v>123.92</v>
      </c>
      <c r="AQ31" s="84">
        <v>412.2</v>
      </c>
      <c r="AR31" s="84">
        <v>248.4</v>
      </c>
      <c r="AS31" s="84">
        <v>91.86</v>
      </c>
      <c r="AT31" s="84">
        <v>195.26</v>
      </c>
      <c r="AU31" s="84"/>
      <c r="AV31" s="85">
        <v>224.6</v>
      </c>
      <c r="AW31" s="84">
        <v>584.4</v>
      </c>
      <c r="AX31" s="84">
        <v>343.4</v>
      </c>
      <c r="AY31" s="88">
        <v>450.8</v>
      </c>
      <c r="AZ31" s="84">
        <v>395.2</v>
      </c>
      <c r="BA31" s="84">
        <v>402.2</v>
      </c>
      <c r="BB31" s="84">
        <v>531.6</v>
      </c>
    </row>
    <row r="32" spans="1:54">
      <c r="A32" s="77" t="s">
        <v>49</v>
      </c>
      <c r="B32" s="84"/>
      <c r="C32" s="84">
        <v>5.3780000000000001</v>
      </c>
      <c r="D32" s="84">
        <v>9.7620000000000005</v>
      </c>
      <c r="E32" s="84">
        <v>8.5500000000000007</v>
      </c>
      <c r="F32" s="84">
        <v>7.65</v>
      </c>
      <c r="G32" s="84"/>
      <c r="H32" s="84">
        <v>16.234000000000002</v>
      </c>
      <c r="I32" s="84">
        <v>21.08</v>
      </c>
      <c r="J32" s="84">
        <v>32.159999999999997</v>
      </c>
      <c r="K32" s="84">
        <v>25.8</v>
      </c>
      <c r="L32" s="84">
        <v>22.68</v>
      </c>
      <c r="M32" s="84">
        <v>21.38</v>
      </c>
      <c r="N32" s="84">
        <v>33.299999999999997</v>
      </c>
      <c r="O32" s="84">
        <v>23.86</v>
      </c>
      <c r="P32" s="84">
        <v>18.132000000000001</v>
      </c>
      <c r="Q32" s="84">
        <v>16.076000000000001</v>
      </c>
      <c r="R32" s="84">
        <v>24.7</v>
      </c>
      <c r="S32" s="84">
        <v>36.880000000000003</v>
      </c>
      <c r="T32" s="84">
        <v>27.56</v>
      </c>
      <c r="U32" s="84">
        <v>18.687999999999999</v>
      </c>
      <c r="V32" s="84">
        <v>20.28</v>
      </c>
      <c r="W32" s="84">
        <v>14.9925375932492</v>
      </c>
      <c r="X32" s="84">
        <v>15.265554453483499</v>
      </c>
      <c r="Y32" s="84">
        <v>14.5687238513793</v>
      </c>
      <c r="Z32" s="84">
        <v>33.119999999999997</v>
      </c>
      <c r="AA32" s="84">
        <v>20.32</v>
      </c>
      <c r="AB32" s="84">
        <v>33.700000000000003</v>
      </c>
      <c r="AC32" s="84">
        <v>20.2</v>
      </c>
      <c r="AD32" s="84">
        <v>16.376000000000001</v>
      </c>
      <c r="AE32" s="84">
        <v>22.1</v>
      </c>
      <c r="AF32" s="84">
        <v>23.52</v>
      </c>
      <c r="AG32" s="84">
        <v>20.96</v>
      </c>
      <c r="AH32" s="84">
        <v>20.46</v>
      </c>
      <c r="AI32" s="84">
        <v>21.4333316488154</v>
      </c>
      <c r="AJ32" s="84">
        <v>24.1028106827832</v>
      </c>
      <c r="AK32" s="84">
        <v>32.433270572390398</v>
      </c>
      <c r="AL32" s="84">
        <v>32.059964400909301</v>
      </c>
      <c r="AM32" s="84">
        <v>21.7</v>
      </c>
      <c r="AN32" s="84">
        <v>18.012</v>
      </c>
      <c r="AO32" s="84">
        <v>35.299999999999997</v>
      </c>
      <c r="AP32" s="84">
        <v>17.18</v>
      </c>
      <c r="AQ32" s="84">
        <v>16.655999999999999</v>
      </c>
      <c r="AR32" s="84">
        <v>21</v>
      </c>
      <c r="AS32" s="84">
        <v>25</v>
      </c>
      <c r="AT32" s="84">
        <v>20</v>
      </c>
      <c r="AU32" s="84"/>
      <c r="AV32" s="85">
        <v>20.68</v>
      </c>
      <c r="AW32" s="84">
        <v>17.382000000000001</v>
      </c>
      <c r="AX32" s="84">
        <v>18.172000000000001</v>
      </c>
      <c r="AY32" s="88">
        <v>8.8680000000000003</v>
      </c>
      <c r="AZ32" s="84">
        <v>15.795999999999999</v>
      </c>
      <c r="BA32" s="84">
        <v>15.156000000000001</v>
      </c>
      <c r="BB32" s="84">
        <v>12.644</v>
      </c>
    </row>
    <row r="33" spans="1:54">
      <c r="A33" s="77" t="s">
        <v>50</v>
      </c>
      <c r="B33" s="84"/>
      <c r="C33" s="84">
        <v>7.6420000000000003</v>
      </c>
      <c r="D33" s="84">
        <v>22.7</v>
      </c>
      <c r="E33" s="84">
        <v>25.98</v>
      </c>
      <c r="F33" s="84">
        <v>22.56</v>
      </c>
      <c r="G33" s="84"/>
      <c r="H33" s="84">
        <v>36.96</v>
      </c>
      <c r="I33" s="84">
        <v>46.82</v>
      </c>
      <c r="J33" s="84">
        <v>80.56</v>
      </c>
      <c r="K33" s="84">
        <v>53.48</v>
      </c>
      <c r="L33" s="84">
        <v>62.86</v>
      </c>
      <c r="M33" s="84">
        <v>68.180000000000007</v>
      </c>
      <c r="N33" s="84">
        <v>78.72</v>
      </c>
      <c r="O33" s="84">
        <v>38.64</v>
      </c>
      <c r="P33" s="84">
        <v>37.659999999999997</v>
      </c>
      <c r="Q33" s="84">
        <v>107.66</v>
      </c>
      <c r="R33" s="84">
        <v>42.78</v>
      </c>
      <c r="S33" s="84">
        <v>77.44</v>
      </c>
      <c r="T33" s="84">
        <v>54.06</v>
      </c>
      <c r="U33" s="84">
        <v>29.78</v>
      </c>
      <c r="V33" s="84">
        <v>40.58</v>
      </c>
      <c r="W33" s="84">
        <v>39.383252032491498</v>
      </c>
      <c r="X33" s="84">
        <v>35.608763189383403</v>
      </c>
      <c r="Y33" s="84">
        <v>43.430534906444301</v>
      </c>
      <c r="Z33" s="84">
        <v>71.2</v>
      </c>
      <c r="AA33" s="84">
        <v>38.72</v>
      </c>
      <c r="AB33" s="84">
        <v>68.72</v>
      </c>
      <c r="AC33" s="84">
        <v>42.04</v>
      </c>
      <c r="AD33" s="84">
        <v>59.66</v>
      </c>
      <c r="AE33" s="84">
        <v>58.08</v>
      </c>
      <c r="AF33" s="84">
        <v>62.22</v>
      </c>
      <c r="AG33" s="84">
        <v>63.06</v>
      </c>
      <c r="AH33" s="84">
        <v>69.62</v>
      </c>
      <c r="AI33" s="84">
        <v>73.165972692668007</v>
      </c>
      <c r="AJ33" s="84">
        <v>71.634396554743205</v>
      </c>
      <c r="AK33" s="84">
        <v>96.158003979053007</v>
      </c>
      <c r="AL33" s="84">
        <v>82.3061987853809</v>
      </c>
      <c r="AM33" s="84">
        <v>40.82</v>
      </c>
      <c r="AN33" s="84">
        <v>48.6</v>
      </c>
      <c r="AO33" s="84">
        <v>64.459999999999994</v>
      </c>
      <c r="AP33" s="84">
        <v>55.76</v>
      </c>
      <c r="AQ33" s="84">
        <v>75.62</v>
      </c>
      <c r="AR33" s="84">
        <v>44.36</v>
      </c>
      <c r="AS33" s="84">
        <v>51.28</v>
      </c>
      <c r="AT33" s="84">
        <v>47.66</v>
      </c>
      <c r="AU33" s="84"/>
      <c r="AV33" s="85">
        <v>47.62</v>
      </c>
      <c r="AW33" s="84">
        <v>87.94</v>
      </c>
      <c r="AX33" s="84">
        <v>128.68</v>
      </c>
      <c r="AY33" s="88">
        <v>81.2</v>
      </c>
      <c r="AZ33" s="84">
        <v>103.84</v>
      </c>
      <c r="BA33" s="84">
        <v>85.8</v>
      </c>
      <c r="BB33" s="84">
        <v>72.540000000000006</v>
      </c>
    </row>
    <row r="34" spans="1:54">
      <c r="A34" s="77" t="s">
        <v>51</v>
      </c>
      <c r="B34" s="84"/>
      <c r="C34" s="84">
        <v>0.35399999999999998</v>
      </c>
      <c r="D34" s="84">
        <v>0.874</v>
      </c>
      <c r="E34" s="84">
        <v>2.35</v>
      </c>
      <c r="F34" s="84">
        <v>2.2000000000000002</v>
      </c>
      <c r="G34" s="84"/>
      <c r="H34" s="84">
        <v>1.8919999999999999</v>
      </c>
      <c r="I34" s="84">
        <v>3.4180000000000001</v>
      </c>
      <c r="J34" s="84">
        <v>5.2619999999999996</v>
      </c>
      <c r="K34" s="84">
        <v>4.8440000000000003</v>
      </c>
      <c r="L34" s="84">
        <v>4.6059999999999999</v>
      </c>
      <c r="M34" s="84">
        <v>4.742</v>
      </c>
      <c r="N34" s="84">
        <v>4.1859999999999999</v>
      </c>
      <c r="O34" s="84">
        <v>2.0979999999999999</v>
      </c>
      <c r="P34" s="84">
        <v>2.0760000000000001</v>
      </c>
      <c r="Q34" s="84">
        <v>4.9800000000000004</v>
      </c>
      <c r="R34" s="84">
        <v>3.44</v>
      </c>
      <c r="S34" s="84">
        <v>7.5880000000000001</v>
      </c>
      <c r="T34" s="84">
        <v>3.9140000000000001</v>
      </c>
      <c r="U34" s="84">
        <v>1.6559999999999999</v>
      </c>
      <c r="V34" s="84">
        <v>4.2080000000000002</v>
      </c>
      <c r="W34" s="84">
        <v>2.7840151779061899</v>
      </c>
      <c r="X34" s="84">
        <v>2.6351824199192602</v>
      </c>
      <c r="Y34" s="84">
        <v>1.86543275410519</v>
      </c>
      <c r="Z34" s="84">
        <v>5.0279999999999996</v>
      </c>
      <c r="AA34" s="84">
        <v>3.2160000000000002</v>
      </c>
      <c r="AB34" s="84">
        <v>5.6840000000000002</v>
      </c>
      <c r="AC34" s="84">
        <v>2.5219999999999998</v>
      </c>
      <c r="AD34" s="84">
        <v>2.9020000000000001</v>
      </c>
      <c r="AE34" s="84">
        <v>4.6139999999999999</v>
      </c>
      <c r="AF34" s="84">
        <v>4.6859999999999999</v>
      </c>
      <c r="AG34" s="84">
        <v>5.92</v>
      </c>
      <c r="AH34" s="84">
        <v>5.2439999999999998</v>
      </c>
      <c r="AI34" s="84">
        <v>4.7125385557630901</v>
      </c>
      <c r="AJ34" s="84">
        <v>6.1042692163743197</v>
      </c>
      <c r="AK34" s="84">
        <v>7.2380801398130101</v>
      </c>
      <c r="AL34" s="84">
        <v>6.28502964350829</v>
      </c>
      <c r="AM34" s="84">
        <v>2.4</v>
      </c>
      <c r="AN34" s="84">
        <v>2.81</v>
      </c>
      <c r="AO34" s="84">
        <v>4.5839999999999996</v>
      </c>
      <c r="AP34" s="84">
        <v>2.3679999999999999</v>
      </c>
      <c r="AQ34" s="84">
        <v>4.952</v>
      </c>
      <c r="AR34" s="84">
        <v>2.0979999999999999</v>
      </c>
      <c r="AS34" s="84">
        <v>2.7679999999999998</v>
      </c>
      <c r="AT34" s="84">
        <v>2.8820000000000001</v>
      </c>
      <c r="AU34" s="84"/>
      <c r="AV34" s="85">
        <v>4.7699999999999996</v>
      </c>
      <c r="AW34" s="84">
        <v>5.2480000000000002</v>
      </c>
      <c r="AX34" s="84">
        <v>5.3559999999999999</v>
      </c>
      <c r="AY34" s="88">
        <v>2.3199999999999998</v>
      </c>
      <c r="AZ34" s="84">
        <v>4.9080000000000004</v>
      </c>
      <c r="BA34" s="84">
        <v>4.4740000000000002</v>
      </c>
      <c r="BB34" s="84">
        <v>2.9860000000000002</v>
      </c>
    </row>
    <row r="35" spans="1:54">
      <c r="A35" s="77" t="s">
        <v>52</v>
      </c>
      <c r="B35" s="84"/>
      <c r="C35" s="84">
        <v>0.106</v>
      </c>
      <c r="D35" s="84">
        <v>0.11799999999999999</v>
      </c>
      <c r="E35" s="84">
        <v>0.12</v>
      </c>
      <c r="F35" s="84" t="s">
        <v>170</v>
      </c>
      <c r="G35" s="84"/>
      <c r="H35" s="84">
        <v>0.14399999999999999</v>
      </c>
      <c r="I35" s="84">
        <v>0.182</v>
      </c>
      <c r="J35" s="84">
        <v>0.314</v>
      </c>
      <c r="K35" s="84">
        <v>0.154</v>
      </c>
      <c r="L35" s="84">
        <v>0.23</v>
      </c>
      <c r="M35" s="84">
        <v>0.28799999999999998</v>
      </c>
      <c r="N35" s="84">
        <v>0.29799999999999999</v>
      </c>
      <c r="O35" s="84">
        <v>0.24199999999999999</v>
      </c>
      <c r="P35" s="84">
        <v>0.224</v>
      </c>
      <c r="Q35" s="84">
        <v>0.32800000000000001</v>
      </c>
      <c r="R35" s="84">
        <v>0.26400000000000001</v>
      </c>
      <c r="S35" s="84">
        <v>0.21</v>
      </c>
      <c r="T35" s="84">
        <v>0.25800000000000001</v>
      </c>
      <c r="U35" s="84">
        <v>0.19</v>
      </c>
      <c r="V35" s="84">
        <v>0.25800000000000001</v>
      </c>
      <c r="W35" s="84" t="s">
        <v>170</v>
      </c>
      <c r="X35" s="84" t="s">
        <v>170</v>
      </c>
      <c r="Y35" s="84" t="s">
        <v>170</v>
      </c>
      <c r="Z35" s="84">
        <v>0.28799999999999998</v>
      </c>
      <c r="AA35" s="84">
        <v>0.17199999999999999</v>
      </c>
      <c r="AB35" s="84">
        <v>0.26</v>
      </c>
      <c r="AC35" s="84">
        <v>0.23799999999999999</v>
      </c>
      <c r="AD35" s="84">
        <v>0.20200000000000001</v>
      </c>
      <c r="AE35" s="84">
        <v>0.23200000000000001</v>
      </c>
      <c r="AF35" s="84">
        <v>0.32600000000000001</v>
      </c>
      <c r="AG35" s="84">
        <v>0.26800000000000002</v>
      </c>
      <c r="AH35" s="84" t="s">
        <v>170</v>
      </c>
      <c r="AI35" s="84" t="s">
        <v>170</v>
      </c>
      <c r="AJ35" s="84" t="s">
        <v>170</v>
      </c>
      <c r="AK35" s="84" t="s">
        <v>170</v>
      </c>
      <c r="AL35" s="84" t="s">
        <v>170</v>
      </c>
      <c r="AM35" s="84">
        <v>0.18</v>
      </c>
      <c r="AN35" s="84">
        <v>0.39800000000000002</v>
      </c>
      <c r="AO35" s="84">
        <v>0.38400000000000001</v>
      </c>
      <c r="AP35" s="84">
        <v>0.20399999999999999</v>
      </c>
      <c r="AQ35" s="84">
        <v>0.15</v>
      </c>
      <c r="AR35" s="84">
        <v>0.18</v>
      </c>
      <c r="AS35" s="84">
        <v>0.188</v>
      </c>
      <c r="AT35" s="84">
        <v>0.25</v>
      </c>
      <c r="AU35" s="84"/>
      <c r="AV35" s="85">
        <v>0.182</v>
      </c>
      <c r="AW35" s="84">
        <v>0.312</v>
      </c>
      <c r="AX35" s="84">
        <v>0.252</v>
      </c>
      <c r="AY35" s="88">
        <v>0.16400000000000001</v>
      </c>
      <c r="AZ35" s="84">
        <v>0.216</v>
      </c>
      <c r="BA35" s="84">
        <v>0.186</v>
      </c>
      <c r="BB35" s="84">
        <v>0.17</v>
      </c>
    </row>
    <row r="36" spans="1:54">
      <c r="A36" s="77" t="s">
        <v>53</v>
      </c>
      <c r="B36" s="84"/>
      <c r="C36" s="84">
        <v>0.91</v>
      </c>
      <c r="D36" s="84">
        <v>0.99199999999999999</v>
      </c>
      <c r="E36" s="84">
        <v>0.67</v>
      </c>
      <c r="F36" s="84">
        <v>0.75</v>
      </c>
      <c r="G36" s="84"/>
      <c r="H36" s="84">
        <v>0.17</v>
      </c>
      <c r="I36" s="84">
        <v>0.71599999999999997</v>
      </c>
      <c r="J36" s="84">
        <v>0.34599999999999997</v>
      </c>
      <c r="K36" s="84">
        <v>0.03</v>
      </c>
      <c r="L36" s="84">
        <v>2.2360000000000002</v>
      </c>
      <c r="M36" s="84">
        <v>1.6279999999999999</v>
      </c>
      <c r="N36" s="84">
        <v>0.16600000000000001</v>
      </c>
      <c r="O36" s="84">
        <v>0.25800000000000001</v>
      </c>
      <c r="P36" s="84">
        <v>0.57399999999999995</v>
      </c>
      <c r="Q36" s="84">
        <v>0.52600000000000002</v>
      </c>
      <c r="R36" s="84">
        <v>0.32</v>
      </c>
      <c r="S36" s="84">
        <v>0.92200000000000004</v>
      </c>
      <c r="T36" s="84">
        <v>6.2E-2</v>
      </c>
      <c r="U36" s="84">
        <v>0.4</v>
      </c>
      <c r="V36" s="84">
        <v>0.218</v>
      </c>
      <c r="W36" s="84">
        <v>0.64851541565840098</v>
      </c>
      <c r="X36" s="84">
        <v>0.49420023944466301</v>
      </c>
      <c r="Y36" s="84">
        <v>0.23425039138287501</v>
      </c>
      <c r="Z36" s="84">
        <v>0.44600000000000001</v>
      </c>
      <c r="AA36" s="84">
        <v>0.52600000000000002</v>
      </c>
      <c r="AB36" s="84">
        <v>0.23</v>
      </c>
      <c r="AC36" s="84">
        <v>0.14199999999999999</v>
      </c>
      <c r="AD36" s="84">
        <v>0.21199999999999999</v>
      </c>
      <c r="AE36" s="84">
        <v>0.25</v>
      </c>
      <c r="AF36" s="84">
        <v>0.21</v>
      </c>
      <c r="AG36" s="84">
        <v>0.26</v>
      </c>
      <c r="AH36" s="84">
        <v>0.27200000000000002</v>
      </c>
      <c r="AI36" s="84">
        <v>0.20252407601898001</v>
      </c>
      <c r="AJ36" s="84">
        <v>0.18993001640325699</v>
      </c>
      <c r="AK36" s="84">
        <v>0.17149597219090401</v>
      </c>
      <c r="AL36" s="84">
        <v>0.33091066260515301</v>
      </c>
      <c r="AM36" s="84">
        <v>0.82799999999999996</v>
      </c>
      <c r="AN36" s="84">
        <v>0.128</v>
      </c>
      <c r="AO36" s="84">
        <v>0.24399999999999999</v>
      </c>
      <c r="AP36" s="84">
        <v>0.42599999999999999</v>
      </c>
      <c r="AQ36" s="84">
        <v>4.8000000000000001E-2</v>
      </c>
      <c r="AR36" s="84">
        <v>8.7999999999999995E-2</v>
      </c>
      <c r="AS36" s="84">
        <v>0.39</v>
      </c>
      <c r="AT36" s="84">
        <v>0.996</v>
      </c>
      <c r="AU36" s="84"/>
      <c r="AV36" s="85">
        <v>1.776</v>
      </c>
      <c r="AW36" s="84">
        <v>0.74199999999999999</v>
      </c>
      <c r="AX36" s="84">
        <v>0.27600000000000002</v>
      </c>
      <c r="AY36" s="88">
        <v>1.31</v>
      </c>
      <c r="AZ36" s="84">
        <v>0.28199999999999997</v>
      </c>
      <c r="BA36" s="84">
        <v>5.3999999999999999E-2</v>
      </c>
      <c r="BB36" s="84">
        <v>12.438000000000001</v>
      </c>
    </row>
    <row r="37" spans="1:54">
      <c r="A37" s="77" t="s">
        <v>54</v>
      </c>
      <c r="B37" s="84"/>
      <c r="C37" s="84">
        <v>125.64</v>
      </c>
      <c r="D37" s="84">
        <v>128.1</v>
      </c>
      <c r="E37" s="84">
        <v>257.39999999999998</v>
      </c>
      <c r="F37" s="84">
        <v>256.41000000000003</v>
      </c>
      <c r="G37" s="84"/>
      <c r="H37" s="84">
        <v>850.6</v>
      </c>
      <c r="I37" s="84">
        <v>63.24</v>
      </c>
      <c r="J37" s="84">
        <v>170.74</v>
      </c>
      <c r="K37" s="84">
        <v>64.5</v>
      </c>
      <c r="L37" s="84">
        <v>344.6</v>
      </c>
      <c r="M37" s="84">
        <v>399.2</v>
      </c>
      <c r="N37" s="84">
        <v>533.6</v>
      </c>
      <c r="O37" s="84">
        <v>621.4</v>
      </c>
      <c r="P37" s="84">
        <v>105</v>
      </c>
      <c r="Q37" s="84">
        <v>215.8</v>
      </c>
      <c r="R37" s="84">
        <v>155.86000000000001</v>
      </c>
      <c r="S37" s="84">
        <v>91.04</v>
      </c>
      <c r="T37" s="84">
        <v>105.92</v>
      </c>
      <c r="U37" s="84">
        <v>239.4</v>
      </c>
      <c r="V37" s="84">
        <v>68.12</v>
      </c>
      <c r="W37" s="84">
        <v>120.734834422554</v>
      </c>
      <c r="X37" s="84">
        <v>92.922730827009403</v>
      </c>
      <c r="Y37" s="84">
        <v>36.688931743298298</v>
      </c>
      <c r="Z37" s="84">
        <v>253</v>
      </c>
      <c r="AA37" s="84">
        <v>274</v>
      </c>
      <c r="AB37" s="84">
        <v>147.82</v>
      </c>
      <c r="AC37" s="84">
        <v>88.5</v>
      </c>
      <c r="AD37" s="84">
        <v>152.36000000000001</v>
      </c>
      <c r="AE37" s="84">
        <v>135.66</v>
      </c>
      <c r="AF37" s="84">
        <v>65.42</v>
      </c>
      <c r="AG37" s="84">
        <v>110.56</v>
      </c>
      <c r="AH37" s="84">
        <v>124.26</v>
      </c>
      <c r="AI37" s="84">
        <v>115.975214548686</v>
      </c>
      <c r="AJ37" s="84">
        <v>122.434131674477</v>
      </c>
      <c r="AK37" s="84">
        <v>116.200819170796</v>
      </c>
      <c r="AL37" s="84">
        <v>161.15491429164601</v>
      </c>
      <c r="AM37" s="84">
        <v>87.5</v>
      </c>
      <c r="AN37" s="84">
        <v>82.4</v>
      </c>
      <c r="AO37" s="84">
        <v>157.36000000000001</v>
      </c>
      <c r="AP37" s="84">
        <v>74.06</v>
      </c>
      <c r="AQ37" s="84">
        <v>206.8</v>
      </c>
      <c r="AR37" s="84">
        <v>123.2</v>
      </c>
      <c r="AS37" s="84">
        <v>74.239999999999995</v>
      </c>
      <c r="AT37" s="84">
        <v>137.9</v>
      </c>
      <c r="AU37" s="84"/>
      <c r="AV37" s="85">
        <v>134.9</v>
      </c>
      <c r="AW37" s="84">
        <v>581.20000000000005</v>
      </c>
      <c r="AX37" s="84">
        <v>226.8</v>
      </c>
      <c r="AY37" s="88">
        <v>304.2</v>
      </c>
      <c r="AZ37" s="84">
        <v>194.88</v>
      </c>
      <c r="BA37" s="84">
        <v>243.2</v>
      </c>
      <c r="BB37" s="84">
        <v>271.39999999999998</v>
      </c>
    </row>
    <row r="38" spans="1:54">
      <c r="A38" s="77" t="s">
        <v>55</v>
      </c>
      <c r="B38" s="84"/>
      <c r="C38" s="84">
        <v>1.048</v>
      </c>
      <c r="D38" s="84">
        <v>3.3660000000000001</v>
      </c>
      <c r="E38" s="84">
        <v>3.94</v>
      </c>
      <c r="F38" s="84">
        <v>3.4</v>
      </c>
      <c r="G38" s="84"/>
      <c r="H38" s="84">
        <v>2.2559999999999998</v>
      </c>
      <c r="I38" s="84">
        <v>7.4059999999999997</v>
      </c>
      <c r="J38" s="84">
        <v>8.7040000000000006</v>
      </c>
      <c r="K38" s="84">
        <v>7.03</v>
      </c>
      <c r="L38" s="84">
        <v>11.423999999999999</v>
      </c>
      <c r="M38" s="84">
        <v>11.504</v>
      </c>
      <c r="N38" s="84">
        <v>7.33</v>
      </c>
      <c r="O38" s="84">
        <v>3.54</v>
      </c>
      <c r="P38" s="84">
        <v>2.802</v>
      </c>
      <c r="Q38" s="84">
        <v>16.096</v>
      </c>
      <c r="R38" s="84">
        <v>4.3140000000000001</v>
      </c>
      <c r="S38" s="84">
        <v>9.9700000000000006</v>
      </c>
      <c r="T38" s="84">
        <v>7.5140000000000002</v>
      </c>
      <c r="U38" s="84">
        <v>2.702</v>
      </c>
      <c r="V38" s="84">
        <v>6.7759999999999998</v>
      </c>
      <c r="W38" s="84">
        <v>3.8005312315157598</v>
      </c>
      <c r="X38" s="84">
        <v>3.9186556381689299</v>
      </c>
      <c r="Y38" s="84">
        <v>3.6744993443898899</v>
      </c>
      <c r="Z38" s="84">
        <v>7.5919999999999996</v>
      </c>
      <c r="AA38" s="84">
        <v>6.4640000000000004</v>
      </c>
      <c r="AB38" s="84">
        <v>8.8279999999999994</v>
      </c>
      <c r="AC38" s="84">
        <v>4.5140000000000002</v>
      </c>
      <c r="AD38" s="84">
        <v>6.48</v>
      </c>
      <c r="AE38" s="84">
        <v>8.6539999999999999</v>
      </c>
      <c r="AF38" s="84">
        <v>7.2439999999999998</v>
      </c>
      <c r="AG38" s="84">
        <v>7.78</v>
      </c>
      <c r="AH38" s="84">
        <v>13.678000000000001</v>
      </c>
      <c r="AI38" s="84">
        <v>7.1264197071680702</v>
      </c>
      <c r="AJ38" s="84">
        <v>8.0858135955240797</v>
      </c>
      <c r="AK38" s="84">
        <v>10.0793492939389</v>
      </c>
      <c r="AL38" s="84">
        <v>8.1124431285391907</v>
      </c>
      <c r="AM38" s="84">
        <v>3.38</v>
      </c>
      <c r="AN38" s="84">
        <v>8.4060000000000006</v>
      </c>
      <c r="AO38" s="84">
        <v>9.3079999999999998</v>
      </c>
      <c r="AP38" s="84">
        <v>3.85</v>
      </c>
      <c r="AQ38" s="84">
        <v>10.916</v>
      </c>
      <c r="AR38" s="84">
        <v>4.1740000000000004</v>
      </c>
      <c r="AS38" s="84">
        <v>4.0940000000000003</v>
      </c>
      <c r="AT38" s="84">
        <v>3.3460000000000001</v>
      </c>
      <c r="AU38" s="84"/>
      <c r="AV38" s="85">
        <v>12.372</v>
      </c>
      <c r="AW38" s="84">
        <v>19.456</v>
      </c>
      <c r="AX38" s="84">
        <v>11.56</v>
      </c>
      <c r="AY38" s="88">
        <v>8.9960000000000004</v>
      </c>
      <c r="AZ38" s="84">
        <v>15.368</v>
      </c>
      <c r="BA38" s="84">
        <v>10</v>
      </c>
      <c r="BB38" s="84">
        <v>8.2720000000000002</v>
      </c>
    </row>
    <row r="39" spans="1:54">
      <c r="A39" s="77" t="s">
        <v>56</v>
      </c>
      <c r="B39" s="84"/>
      <c r="C39" s="84">
        <v>2.444</v>
      </c>
      <c r="D39" s="84">
        <v>6.2060000000000004</v>
      </c>
      <c r="E39" s="84">
        <v>7.37</v>
      </c>
      <c r="F39" s="84">
        <v>6.5</v>
      </c>
      <c r="G39" s="84"/>
      <c r="H39" s="84">
        <v>5.7140000000000004</v>
      </c>
      <c r="I39" s="84">
        <v>17.622</v>
      </c>
      <c r="J39" s="84">
        <v>19.975999999999999</v>
      </c>
      <c r="K39" s="84">
        <v>19.356000000000002</v>
      </c>
      <c r="L39" s="84">
        <v>23.46</v>
      </c>
      <c r="M39" s="84">
        <v>26.5</v>
      </c>
      <c r="N39" s="84">
        <v>17.218</v>
      </c>
      <c r="O39" s="84">
        <v>7.9340000000000002</v>
      </c>
      <c r="P39" s="84">
        <v>7.58</v>
      </c>
      <c r="Q39" s="84">
        <v>42.7</v>
      </c>
      <c r="R39" s="84">
        <v>11.214</v>
      </c>
      <c r="S39" s="84">
        <v>21.36</v>
      </c>
      <c r="T39" s="84">
        <v>16.867999999999999</v>
      </c>
      <c r="U39" s="84">
        <v>5.5140000000000002</v>
      </c>
      <c r="V39" s="84">
        <v>12.88</v>
      </c>
      <c r="W39" s="84">
        <v>9.2095000409332393</v>
      </c>
      <c r="X39" s="84">
        <v>9.1558768974421891</v>
      </c>
      <c r="Y39" s="84">
        <v>8.4173075355798801</v>
      </c>
      <c r="Z39" s="84">
        <v>18.760000000000002</v>
      </c>
      <c r="AA39" s="84">
        <v>14.438000000000001</v>
      </c>
      <c r="AB39" s="84">
        <v>18.702000000000002</v>
      </c>
      <c r="AC39" s="84">
        <v>10.214</v>
      </c>
      <c r="AD39" s="84">
        <v>13.336</v>
      </c>
      <c r="AE39" s="84">
        <v>19.207999999999998</v>
      </c>
      <c r="AF39" s="84">
        <v>18.648</v>
      </c>
      <c r="AG39" s="84">
        <v>20.239999999999998</v>
      </c>
      <c r="AH39" s="84">
        <v>35.5</v>
      </c>
      <c r="AI39" s="84">
        <v>18.377674695266101</v>
      </c>
      <c r="AJ39" s="84">
        <v>21.136233071586599</v>
      </c>
      <c r="AK39" s="84">
        <v>25.531565158276699</v>
      </c>
      <c r="AL39" s="84">
        <v>19.089653008994802</v>
      </c>
      <c r="AM39" s="84">
        <v>8.5920000000000005</v>
      </c>
      <c r="AN39" s="84">
        <v>23.12</v>
      </c>
      <c r="AO39" s="84">
        <v>19.706</v>
      </c>
      <c r="AP39" s="84">
        <v>9.3420000000000005</v>
      </c>
      <c r="AQ39" s="84">
        <v>22.66</v>
      </c>
      <c r="AR39" s="84">
        <v>7.7619999999999996</v>
      </c>
      <c r="AS39" s="84">
        <v>8.6259999999999994</v>
      </c>
      <c r="AT39" s="84">
        <v>8.5760000000000005</v>
      </c>
      <c r="AU39" s="84"/>
      <c r="AV39" s="85">
        <v>30.52</v>
      </c>
      <c r="AW39" s="84">
        <v>45.14</v>
      </c>
      <c r="AX39" s="84">
        <v>25.32</v>
      </c>
      <c r="AY39" s="88">
        <v>17.045999999999999</v>
      </c>
      <c r="AZ39" s="84">
        <v>30.2</v>
      </c>
      <c r="BA39" s="84">
        <v>21.5</v>
      </c>
      <c r="BB39" s="84">
        <v>19.181999999999999</v>
      </c>
    </row>
    <row r="40" spans="1:54">
      <c r="A40" s="77" t="s">
        <v>57</v>
      </c>
      <c r="B40" s="84"/>
      <c r="C40" s="84">
        <v>0.40200000000000002</v>
      </c>
      <c r="D40" s="84">
        <v>1.0780000000000001</v>
      </c>
      <c r="E40" s="84">
        <v>1.1000000000000001</v>
      </c>
      <c r="F40" s="84">
        <v>1.0900000000000001</v>
      </c>
      <c r="G40" s="84"/>
      <c r="H40" s="84">
        <v>0.96799999999999997</v>
      </c>
      <c r="I40" s="84">
        <v>2.2240000000000002</v>
      </c>
      <c r="J40" s="84">
        <v>3.1280000000000001</v>
      </c>
      <c r="K40" s="84">
        <v>2.86</v>
      </c>
      <c r="L40" s="84">
        <v>3.3380000000000001</v>
      </c>
      <c r="M40" s="84">
        <v>3.528</v>
      </c>
      <c r="N40" s="84">
        <v>2.5019999999999998</v>
      </c>
      <c r="O40" s="84">
        <v>1.38</v>
      </c>
      <c r="P40" s="84">
        <v>1.1679999999999999</v>
      </c>
      <c r="Q40" s="84">
        <v>5.77</v>
      </c>
      <c r="R40" s="84">
        <v>1.6060000000000001</v>
      </c>
      <c r="S40" s="84">
        <v>3.17</v>
      </c>
      <c r="T40" s="84">
        <v>2.3719999999999999</v>
      </c>
      <c r="U40" s="84">
        <v>0.98199999999999998</v>
      </c>
      <c r="V40" s="84">
        <v>2.0219999999999998</v>
      </c>
      <c r="W40" s="84">
        <v>1.3648148965181599</v>
      </c>
      <c r="X40" s="84">
        <v>1.3924866669156599</v>
      </c>
      <c r="Y40" s="84">
        <v>1.25684892634507</v>
      </c>
      <c r="Z40" s="84">
        <v>2.6640000000000001</v>
      </c>
      <c r="AA40" s="84">
        <v>1.8240000000000001</v>
      </c>
      <c r="AB40" s="84">
        <v>2.782</v>
      </c>
      <c r="AC40" s="84">
        <v>1.61</v>
      </c>
      <c r="AD40" s="84">
        <v>1.8620000000000001</v>
      </c>
      <c r="AE40" s="84">
        <v>2.7879999999999998</v>
      </c>
      <c r="AF40" s="84">
        <v>2.79</v>
      </c>
      <c r="AG40" s="84">
        <v>2.8879999999999999</v>
      </c>
      <c r="AH40" s="84">
        <v>4.726</v>
      </c>
      <c r="AI40" s="84">
        <v>2.72818436388365</v>
      </c>
      <c r="AJ40" s="84">
        <v>3.2163943403767301</v>
      </c>
      <c r="AK40" s="84">
        <v>3.8011452632337401</v>
      </c>
      <c r="AL40" s="84">
        <v>2.87116907841768</v>
      </c>
      <c r="AM40" s="84">
        <v>1.272</v>
      </c>
      <c r="AN40" s="84">
        <v>3.1480000000000001</v>
      </c>
      <c r="AO40" s="84">
        <v>2.6219999999999999</v>
      </c>
      <c r="AP40" s="84">
        <v>1.3580000000000001</v>
      </c>
      <c r="AQ40" s="84">
        <v>3.016</v>
      </c>
      <c r="AR40" s="84">
        <v>1.3859999999999999</v>
      </c>
      <c r="AS40" s="84">
        <v>1.484</v>
      </c>
      <c r="AT40" s="84">
        <v>1.3440000000000001</v>
      </c>
      <c r="AU40" s="84"/>
      <c r="AV40" s="85">
        <v>3.83</v>
      </c>
      <c r="AW40" s="84">
        <v>5.9240000000000004</v>
      </c>
      <c r="AX40" s="84">
        <v>3.456</v>
      </c>
      <c r="AY40" s="88">
        <v>2.2919999999999998</v>
      </c>
      <c r="AZ40" s="84">
        <v>4.1840000000000002</v>
      </c>
      <c r="BA40" s="84">
        <v>2.6240000000000001</v>
      </c>
      <c r="BB40" s="84">
        <v>2.8260000000000001</v>
      </c>
    </row>
    <row r="41" spans="1:54">
      <c r="A41" s="77" t="s">
        <v>58</v>
      </c>
      <c r="B41" s="84"/>
      <c r="C41" s="84">
        <v>2.19</v>
      </c>
      <c r="D41" s="84">
        <v>5.6840000000000002</v>
      </c>
      <c r="E41" s="84">
        <v>5.54</v>
      </c>
      <c r="F41" s="84">
        <v>4.32</v>
      </c>
      <c r="G41" s="84"/>
      <c r="H41" s="84">
        <v>5.2519999999999998</v>
      </c>
      <c r="I41" s="84">
        <v>9.9719999999999995</v>
      </c>
      <c r="J41" s="84">
        <v>15.406000000000001</v>
      </c>
      <c r="K41" s="84">
        <v>14.497999999999999</v>
      </c>
      <c r="L41" s="84">
        <v>15.246</v>
      </c>
      <c r="M41" s="84">
        <v>16.018000000000001</v>
      </c>
      <c r="N41" s="84">
        <v>12.391999999999999</v>
      </c>
      <c r="O41" s="84">
        <v>7.532</v>
      </c>
      <c r="P41" s="84">
        <v>6.2</v>
      </c>
      <c r="Q41" s="84">
        <v>25.44</v>
      </c>
      <c r="R41" s="84">
        <v>8.2680000000000007</v>
      </c>
      <c r="S41" s="84">
        <v>17.018000000000001</v>
      </c>
      <c r="T41" s="84">
        <v>12.686</v>
      </c>
      <c r="U41" s="84">
        <v>5.8540000000000001</v>
      </c>
      <c r="V41" s="84">
        <v>8.98</v>
      </c>
      <c r="W41" s="84">
        <v>6.1745627207092104</v>
      </c>
      <c r="X41" s="84">
        <v>6.1794677773452102</v>
      </c>
      <c r="Y41" s="84">
        <v>5.77390495498347</v>
      </c>
      <c r="Z41" s="84">
        <v>13.635999999999999</v>
      </c>
      <c r="AA41" s="84">
        <v>8.218</v>
      </c>
      <c r="AB41" s="84">
        <v>14.938000000000001</v>
      </c>
      <c r="AC41" s="84">
        <v>9.4260000000000002</v>
      </c>
      <c r="AD41" s="84">
        <v>9.5220000000000002</v>
      </c>
      <c r="AE41" s="84">
        <v>14.994</v>
      </c>
      <c r="AF41" s="84">
        <v>14.018000000000001</v>
      </c>
      <c r="AG41" s="84">
        <v>16.27</v>
      </c>
      <c r="AH41" s="84">
        <v>21.94</v>
      </c>
      <c r="AI41" s="84">
        <v>12.5805519904133</v>
      </c>
      <c r="AJ41" s="84">
        <v>14.371292117328201</v>
      </c>
      <c r="AK41" s="84">
        <v>17.152812839067099</v>
      </c>
      <c r="AL41" s="84">
        <v>12.897152154108699</v>
      </c>
      <c r="AM41" s="84">
        <v>6.734</v>
      </c>
      <c r="AN41" s="84">
        <v>14.712</v>
      </c>
      <c r="AO41" s="84">
        <v>13.018000000000001</v>
      </c>
      <c r="AP41" s="84">
        <v>6.6420000000000003</v>
      </c>
      <c r="AQ41" s="84">
        <v>12.731999999999999</v>
      </c>
      <c r="AR41" s="84">
        <v>7.0640000000000001</v>
      </c>
      <c r="AS41" s="84">
        <v>8.5679999999999996</v>
      </c>
      <c r="AT41" s="84">
        <v>7.1219999999999999</v>
      </c>
      <c r="AU41" s="84"/>
      <c r="AV41" s="85">
        <v>15.988</v>
      </c>
      <c r="AW41" s="84">
        <v>25.66</v>
      </c>
      <c r="AX41" s="84">
        <v>15.04</v>
      </c>
      <c r="AY41" s="88">
        <v>11.038</v>
      </c>
      <c r="AZ41" s="84">
        <v>18.286000000000001</v>
      </c>
      <c r="BA41" s="84">
        <v>11.53</v>
      </c>
      <c r="BB41" s="84">
        <v>13.036</v>
      </c>
    </row>
    <row r="42" spans="1:54">
      <c r="A42" s="77" t="s">
        <v>59</v>
      </c>
      <c r="B42" s="84"/>
      <c r="C42" s="84">
        <v>0.71599999999999997</v>
      </c>
      <c r="D42" s="84">
        <v>1.482</v>
      </c>
      <c r="E42" s="84">
        <v>1.46</v>
      </c>
      <c r="F42" s="84">
        <v>1.36</v>
      </c>
      <c r="G42" s="84"/>
      <c r="H42" s="84">
        <v>1.772</v>
      </c>
      <c r="I42" s="84">
        <v>2.726</v>
      </c>
      <c r="J42" s="84">
        <v>4.45</v>
      </c>
      <c r="K42" s="84">
        <v>4.1420000000000003</v>
      </c>
      <c r="L42" s="84">
        <v>3.81</v>
      </c>
      <c r="M42" s="84">
        <v>3.9220000000000002</v>
      </c>
      <c r="N42" s="84">
        <v>3.84</v>
      </c>
      <c r="O42" s="84">
        <v>2.52</v>
      </c>
      <c r="P42" s="84">
        <v>2.1080000000000001</v>
      </c>
      <c r="Q42" s="84">
        <v>5.1859999999999999</v>
      </c>
      <c r="R42" s="84">
        <v>2.7440000000000002</v>
      </c>
      <c r="S42" s="84">
        <v>4.79</v>
      </c>
      <c r="T42" s="84">
        <v>3.6579999999999999</v>
      </c>
      <c r="U42" s="84">
        <v>1.948</v>
      </c>
      <c r="V42" s="84">
        <v>2.5</v>
      </c>
      <c r="W42" s="84">
        <v>1.9373310311954</v>
      </c>
      <c r="X42" s="84">
        <v>2.0317374138385298</v>
      </c>
      <c r="Y42" s="84">
        <v>2.1156647674532798</v>
      </c>
      <c r="Z42" s="84">
        <v>4.2560000000000002</v>
      </c>
      <c r="AA42" s="84">
        <v>2.4359999999999999</v>
      </c>
      <c r="AB42" s="84">
        <v>4.2859999999999996</v>
      </c>
      <c r="AC42" s="84">
        <v>3.02</v>
      </c>
      <c r="AD42" s="84">
        <v>2.452</v>
      </c>
      <c r="AE42" s="84">
        <v>4.0439999999999996</v>
      </c>
      <c r="AF42" s="84">
        <v>4.0199999999999996</v>
      </c>
      <c r="AG42" s="84">
        <v>4.5739999999999998</v>
      </c>
      <c r="AH42" s="84">
        <v>4.6980000000000004</v>
      </c>
      <c r="AI42" s="84">
        <v>3.7295158904949601</v>
      </c>
      <c r="AJ42" s="84">
        <v>4.1284406672171903</v>
      </c>
      <c r="AK42" s="84">
        <v>5.2193072413452901</v>
      </c>
      <c r="AL42" s="84">
        <v>4.0334097654112604</v>
      </c>
      <c r="AM42" s="84">
        <v>2.222</v>
      </c>
      <c r="AN42" s="84">
        <v>3.8279999999999998</v>
      </c>
      <c r="AO42" s="84">
        <v>4.0179999999999998</v>
      </c>
      <c r="AP42" s="84">
        <v>1.948</v>
      </c>
      <c r="AQ42" s="84">
        <v>3.03</v>
      </c>
      <c r="AR42" s="84">
        <v>2.2519999999999998</v>
      </c>
      <c r="AS42" s="84">
        <v>2.75</v>
      </c>
      <c r="AT42" s="84">
        <v>2.294</v>
      </c>
      <c r="AU42" s="84"/>
      <c r="AV42" s="85">
        <v>3.4340000000000002</v>
      </c>
      <c r="AW42" s="84">
        <v>5.218</v>
      </c>
      <c r="AX42" s="84">
        <v>3.4319999999999999</v>
      </c>
      <c r="AY42" s="88">
        <v>2.4060000000000001</v>
      </c>
      <c r="AZ42" s="84">
        <v>3.7679999999999998</v>
      </c>
      <c r="BA42" s="84">
        <v>2.71</v>
      </c>
      <c r="BB42" s="84">
        <v>2.9319999999999999</v>
      </c>
    </row>
    <row r="43" spans="1:54">
      <c r="A43" s="77" t="s">
        <v>60</v>
      </c>
      <c r="B43" s="84"/>
      <c r="C43" s="84">
        <v>0.38400000000000001</v>
      </c>
      <c r="D43" s="84">
        <v>0.44600000000000001</v>
      </c>
      <c r="E43" s="84">
        <v>0.55000000000000004</v>
      </c>
      <c r="F43" s="84">
        <v>0.51</v>
      </c>
      <c r="G43" s="84"/>
      <c r="H43" s="84">
        <v>0.83799999999999997</v>
      </c>
      <c r="I43" s="84">
        <v>1.008</v>
      </c>
      <c r="J43" s="84">
        <v>1.464</v>
      </c>
      <c r="K43" s="84">
        <v>1.3440000000000001</v>
      </c>
      <c r="L43" s="84">
        <v>1.3740000000000001</v>
      </c>
      <c r="M43" s="84">
        <v>1.3260000000000001</v>
      </c>
      <c r="N43" s="84">
        <v>1.4039999999999999</v>
      </c>
      <c r="O43" s="84">
        <v>1.0720000000000001</v>
      </c>
      <c r="P43" s="84">
        <v>0.75800000000000001</v>
      </c>
      <c r="Q43" s="84">
        <v>1.492</v>
      </c>
      <c r="R43" s="84">
        <v>0.998</v>
      </c>
      <c r="S43" s="84">
        <v>1.246</v>
      </c>
      <c r="T43" s="84">
        <v>1.05</v>
      </c>
      <c r="U43" s="84">
        <v>0.65600000000000003</v>
      </c>
      <c r="V43" s="84">
        <v>0.88600000000000001</v>
      </c>
      <c r="W43" s="84">
        <v>0.69129690053966397</v>
      </c>
      <c r="X43" s="84">
        <v>0.66911333362507697</v>
      </c>
      <c r="Y43" s="84">
        <v>0.70015598667830903</v>
      </c>
      <c r="Z43" s="84">
        <v>1.6259999999999999</v>
      </c>
      <c r="AA43" s="84">
        <v>0.83599999999999997</v>
      </c>
      <c r="AB43" s="84">
        <v>1.1519999999999999</v>
      </c>
      <c r="AC43" s="84">
        <v>1.012</v>
      </c>
      <c r="AD43" s="84">
        <v>0.75800000000000001</v>
      </c>
      <c r="AE43" s="84">
        <v>1.228</v>
      </c>
      <c r="AF43" s="84">
        <v>1.476</v>
      </c>
      <c r="AG43" s="84">
        <v>1.3420000000000001</v>
      </c>
      <c r="AH43" s="84">
        <v>1.63</v>
      </c>
      <c r="AI43" s="84">
        <v>1.2894860417126099</v>
      </c>
      <c r="AJ43" s="84">
        <v>1.3677976438797801</v>
      </c>
      <c r="AK43" s="84">
        <v>1.6446404730012401</v>
      </c>
      <c r="AL43" s="84">
        <v>1.21016423258107</v>
      </c>
      <c r="AM43" s="84">
        <v>0.84599999999999997</v>
      </c>
      <c r="AN43" s="84">
        <v>1</v>
      </c>
      <c r="AO43" s="84">
        <v>1.6459999999999999</v>
      </c>
      <c r="AP43" s="84">
        <v>0.69599999999999995</v>
      </c>
      <c r="AQ43" s="84">
        <v>1.18</v>
      </c>
      <c r="AR43" s="84">
        <v>0.86799999999999999</v>
      </c>
      <c r="AS43" s="84">
        <v>0.84199999999999997</v>
      </c>
      <c r="AT43" s="84">
        <v>0.88600000000000001</v>
      </c>
      <c r="AU43" s="84"/>
      <c r="AV43" s="85">
        <v>1.0780000000000001</v>
      </c>
      <c r="AW43" s="84">
        <v>1.4179999999999999</v>
      </c>
      <c r="AX43" s="84">
        <v>1.1399999999999999</v>
      </c>
      <c r="AY43" s="88">
        <v>0.70399999999999996</v>
      </c>
      <c r="AZ43" s="84">
        <v>1.1559999999999999</v>
      </c>
      <c r="BA43" s="84">
        <v>0.98</v>
      </c>
      <c r="BB43" s="84">
        <v>0.97</v>
      </c>
    </row>
    <row r="44" spans="1:54">
      <c r="A44" s="77" t="s">
        <v>61</v>
      </c>
      <c r="B44" s="84"/>
      <c r="C44" s="84">
        <v>0.89800000000000002</v>
      </c>
      <c r="D44" s="84">
        <v>1.6679999999999999</v>
      </c>
      <c r="E44" s="84">
        <v>1.67</v>
      </c>
      <c r="F44" s="84">
        <v>1.51</v>
      </c>
      <c r="G44" s="84"/>
      <c r="H44" s="84">
        <v>2.44</v>
      </c>
      <c r="I44" s="84">
        <v>3.41</v>
      </c>
      <c r="J44" s="84">
        <v>5.4660000000000002</v>
      </c>
      <c r="K44" s="84">
        <v>4.79</v>
      </c>
      <c r="L44" s="84">
        <v>4.3860000000000001</v>
      </c>
      <c r="M44" s="84">
        <v>4.3959999999999999</v>
      </c>
      <c r="N44" s="84">
        <v>4.9740000000000002</v>
      </c>
      <c r="O44" s="84">
        <v>3.4359999999999999</v>
      </c>
      <c r="P44" s="84">
        <v>2.75</v>
      </c>
      <c r="Q44" s="84">
        <v>4.9340000000000002</v>
      </c>
      <c r="R44" s="84">
        <v>3.702</v>
      </c>
      <c r="S44" s="84">
        <v>5.7220000000000004</v>
      </c>
      <c r="T44" s="84">
        <v>4.3440000000000003</v>
      </c>
      <c r="U44" s="84">
        <v>2.56</v>
      </c>
      <c r="V44" s="84">
        <v>3.1379999999999999</v>
      </c>
      <c r="W44" s="84">
        <v>2.4591630674443898</v>
      </c>
      <c r="X44" s="84">
        <v>2.4721615518151898</v>
      </c>
      <c r="Y44" s="84">
        <v>2.6676647146688399</v>
      </c>
      <c r="Z44" s="84">
        <v>5.556</v>
      </c>
      <c r="AA44" s="84">
        <v>3.1360000000000001</v>
      </c>
      <c r="AB44" s="84">
        <v>5.28</v>
      </c>
      <c r="AC44" s="84">
        <v>3.7</v>
      </c>
      <c r="AD44" s="84">
        <v>2.8639999999999999</v>
      </c>
      <c r="AE44" s="84">
        <v>4.6040000000000001</v>
      </c>
      <c r="AF44" s="84">
        <v>4.5720000000000001</v>
      </c>
      <c r="AG44" s="84">
        <v>5.3360000000000003</v>
      </c>
      <c r="AH44" s="84">
        <v>4.92</v>
      </c>
      <c r="AI44" s="84">
        <v>4.3819351203649601</v>
      </c>
      <c r="AJ44" s="84">
        <v>4.7971416354699796</v>
      </c>
      <c r="AK44" s="84">
        <v>5.7328358025687498</v>
      </c>
      <c r="AL44" s="84">
        <v>4.8611351847706104</v>
      </c>
      <c r="AM44" s="84">
        <v>3.0779999999999998</v>
      </c>
      <c r="AN44" s="84">
        <v>4.1859999999999999</v>
      </c>
      <c r="AO44" s="84">
        <v>5.258</v>
      </c>
      <c r="AP44" s="84">
        <v>2.484</v>
      </c>
      <c r="AQ44" s="84">
        <v>3.4319999999999999</v>
      </c>
      <c r="AR44" s="84">
        <v>3.0339999999999998</v>
      </c>
      <c r="AS44" s="84">
        <v>3.5539999999999998</v>
      </c>
      <c r="AT44" s="84">
        <v>3.0779999999999998</v>
      </c>
      <c r="AU44" s="84"/>
      <c r="AV44" s="85">
        <v>3.9340000000000002</v>
      </c>
      <c r="AW44" s="84">
        <v>5.0819999999999999</v>
      </c>
      <c r="AX44" s="84">
        <v>3.8660000000000001</v>
      </c>
      <c r="AY44" s="88">
        <v>2.3839999999999999</v>
      </c>
      <c r="AZ44" s="84">
        <v>4.1159999999999997</v>
      </c>
      <c r="BA44" s="84">
        <v>3.1320000000000001</v>
      </c>
      <c r="BB44" s="84">
        <v>2.9740000000000002</v>
      </c>
    </row>
    <row r="45" spans="1:54">
      <c r="A45" s="77" t="s">
        <v>62</v>
      </c>
      <c r="B45" s="84"/>
      <c r="C45" s="84">
        <v>0.156</v>
      </c>
      <c r="D45" s="84">
        <v>0.24399999999999999</v>
      </c>
      <c r="E45" s="84">
        <v>0.22</v>
      </c>
      <c r="F45" s="84">
        <v>0.25</v>
      </c>
      <c r="G45" s="84"/>
      <c r="H45" s="84">
        <v>0.44600000000000001</v>
      </c>
      <c r="I45" s="84">
        <v>0.59</v>
      </c>
      <c r="J45" s="84">
        <v>0.93</v>
      </c>
      <c r="K45" s="84">
        <v>0.80200000000000005</v>
      </c>
      <c r="L45" s="84">
        <v>0.68600000000000005</v>
      </c>
      <c r="M45" s="84">
        <v>0.66800000000000004</v>
      </c>
      <c r="N45" s="84">
        <v>0.89400000000000002</v>
      </c>
      <c r="O45" s="84">
        <v>0.61599999999999999</v>
      </c>
      <c r="P45" s="84">
        <v>0.504</v>
      </c>
      <c r="Q45" s="84">
        <v>0.61199999999999999</v>
      </c>
      <c r="R45" s="84">
        <v>0.65800000000000003</v>
      </c>
      <c r="S45" s="84">
        <v>0.86599999999999999</v>
      </c>
      <c r="T45" s="84">
        <v>0.68400000000000005</v>
      </c>
      <c r="U45" s="84">
        <v>0.42199999999999999</v>
      </c>
      <c r="V45" s="84">
        <v>0.55200000000000005</v>
      </c>
      <c r="W45" s="84">
        <v>0.39393850548176801</v>
      </c>
      <c r="X45" s="84">
        <v>0.42416547182519598</v>
      </c>
      <c r="Y45" s="84">
        <v>0.46075594326566299</v>
      </c>
      <c r="Z45" s="84">
        <v>0.95799999999999996</v>
      </c>
      <c r="AA45" s="84">
        <v>0.55000000000000004</v>
      </c>
      <c r="AB45" s="84">
        <v>0.81599999999999995</v>
      </c>
      <c r="AC45" s="84">
        <v>0.55600000000000005</v>
      </c>
      <c r="AD45" s="84">
        <v>0.40799999999999997</v>
      </c>
      <c r="AE45" s="84">
        <v>0.626</v>
      </c>
      <c r="AF45" s="84">
        <v>0.748</v>
      </c>
      <c r="AG45" s="84">
        <v>0.74199999999999999</v>
      </c>
      <c r="AH45" s="84">
        <v>0.66800000000000004</v>
      </c>
      <c r="AI45" s="84">
        <v>0.70621355196909097</v>
      </c>
      <c r="AJ45" s="84">
        <v>0.78569633683162599</v>
      </c>
      <c r="AK45" s="84">
        <v>1.0039746315135101</v>
      </c>
      <c r="AL45" s="84">
        <v>0.92463141171972496</v>
      </c>
      <c r="AM45" s="84">
        <v>0.57599999999999996</v>
      </c>
      <c r="AN45" s="84">
        <v>0.62</v>
      </c>
      <c r="AO45" s="84">
        <v>0.93600000000000005</v>
      </c>
      <c r="AP45" s="84">
        <v>0.45</v>
      </c>
      <c r="AQ45" s="84">
        <v>0.51600000000000001</v>
      </c>
      <c r="AR45" s="84">
        <v>0.54600000000000004</v>
      </c>
      <c r="AS45" s="84">
        <v>0.57599999999999996</v>
      </c>
      <c r="AT45" s="84">
        <v>0.54600000000000004</v>
      </c>
      <c r="AU45" s="84"/>
      <c r="AV45" s="85">
        <v>0.58399999999999996</v>
      </c>
      <c r="AW45" s="84">
        <v>0.65400000000000003</v>
      </c>
      <c r="AX45" s="84">
        <v>0.59</v>
      </c>
      <c r="AY45" s="88">
        <v>0.27800000000000002</v>
      </c>
      <c r="AZ45" s="84">
        <v>0.56599999999999995</v>
      </c>
      <c r="BA45" s="84">
        <v>0.48399999999999999</v>
      </c>
      <c r="BB45" s="84">
        <v>0.432</v>
      </c>
    </row>
    <row r="46" spans="1:54">
      <c r="A46" s="77" t="s">
        <v>63</v>
      </c>
      <c r="B46" s="84"/>
      <c r="C46" s="84">
        <v>1.1040000000000001</v>
      </c>
      <c r="D46" s="84">
        <v>1.9259999999999999</v>
      </c>
      <c r="E46" s="84">
        <v>1.59</v>
      </c>
      <c r="F46" s="84">
        <v>1.48</v>
      </c>
      <c r="G46" s="84"/>
      <c r="H46" s="84">
        <v>3.1739999999999999</v>
      </c>
      <c r="I46" s="84">
        <v>4.1100000000000003</v>
      </c>
      <c r="J46" s="84">
        <v>6.3159999999999998</v>
      </c>
      <c r="K46" s="84">
        <v>5.35</v>
      </c>
      <c r="L46" s="84">
        <v>4.3440000000000003</v>
      </c>
      <c r="M46" s="84">
        <v>4.3259999999999996</v>
      </c>
      <c r="N46" s="84">
        <v>6.25</v>
      </c>
      <c r="O46" s="84">
        <v>4.3860000000000001</v>
      </c>
      <c r="P46" s="84">
        <v>3.6179999999999999</v>
      </c>
      <c r="Q46" s="84">
        <v>3.3519999999999999</v>
      </c>
      <c r="R46" s="84">
        <v>4.6180000000000003</v>
      </c>
      <c r="S46" s="84">
        <v>6.7439999999999998</v>
      </c>
      <c r="T46" s="84">
        <v>5.35</v>
      </c>
      <c r="U46" s="84">
        <v>3.4180000000000001</v>
      </c>
      <c r="V46" s="84">
        <v>3.8239999999999998</v>
      </c>
      <c r="W46" s="84">
        <v>2.91404788762221</v>
      </c>
      <c r="X46" s="84">
        <v>2.7661613096333602</v>
      </c>
      <c r="Y46" s="84">
        <v>2.9431539787565999</v>
      </c>
      <c r="Z46" s="84">
        <v>6.49</v>
      </c>
      <c r="AA46" s="84">
        <v>3.8039999999999998</v>
      </c>
      <c r="AB46" s="84">
        <v>6.282</v>
      </c>
      <c r="AC46" s="84">
        <v>4.1079999999999997</v>
      </c>
      <c r="AD46" s="84">
        <v>3.0459999999999998</v>
      </c>
      <c r="AE46" s="84">
        <v>4.516</v>
      </c>
      <c r="AF46" s="84">
        <v>4.798</v>
      </c>
      <c r="AG46" s="84">
        <v>5.0140000000000002</v>
      </c>
      <c r="AH46" s="84">
        <v>3.9660000000000002</v>
      </c>
      <c r="AI46" s="84">
        <v>4.3824068525946602</v>
      </c>
      <c r="AJ46" s="84">
        <v>4.4703980515262298</v>
      </c>
      <c r="AK46" s="84">
        <v>5.9255590835363501</v>
      </c>
      <c r="AL46" s="84">
        <v>5.5080798253152103</v>
      </c>
      <c r="AM46" s="84">
        <v>4.1580000000000004</v>
      </c>
      <c r="AN46" s="84">
        <v>3.758</v>
      </c>
      <c r="AO46" s="84">
        <v>6.4640000000000004</v>
      </c>
      <c r="AP46" s="84">
        <v>3.2080000000000002</v>
      </c>
      <c r="AQ46" s="84">
        <v>3.258</v>
      </c>
      <c r="AR46" s="84">
        <v>3.9</v>
      </c>
      <c r="AS46" s="84">
        <v>4.6180000000000003</v>
      </c>
      <c r="AT46" s="84">
        <v>3.802</v>
      </c>
      <c r="AU46" s="84"/>
      <c r="AV46" s="85">
        <v>3.762</v>
      </c>
      <c r="AW46" s="84">
        <v>3.6459999999999999</v>
      </c>
      <c r="AX46" s="84">
        <v>3.6659999999999999</v>
      </c>
      <c r="AY46" s="88">
        <v>1.796</v>
      </c>
      <c r="AZ46" s="84">
        <v>3.33</v>
      </c>
      <c r="BA46" s="84">
        <v>3.0579999999999998</v>
      </c>
      <c r="BB46" s="84">
        <v>2.6379999999999999</v>
      </c>
    </row>
    <row r="47" spans="1:54">
      <c r="A47" s="77" t="s">
        <v>64</v>
      </c>
      <c r="B47" s="84"/>
      <c r="C47" s="84">
        <v>0.22</v>
      </c>
      <c r="D47" s="84">
        <v>0.37</v>
      </c>
      <c r="E47" s="84">
        <v>0.31</v>
      </c>
      <c r="F47" s="84">
        <v>0.3</v>
      </c>
      <c r="G47" s="84"/>
      <c r="H47" s="84">
        <v>0.64200000000000002</v>
      </c>
      <c r="I47" s="84">
        <v>0.83799999999999997</v>
      </c>
      <c r="J47" s="84">
        <v>1.28</v>
      </c>
      <c r="K47" s="84">
        <v>1.048</v>
      </c>
      <c r="L47" s="84">
        <v>0.84</v>
      </c>
      <c r="M47" s="84">
        <v>0.84199999999999997</v>
      </c>
      <c r="N47" s="84">
        <v>1.282</v>
      </c>
      <c r="O47" s="84">
        <v>0.91</v>
      </c>
      <c r="P47" s="84">
        <v>0.73799999999999999</v>
      </c>
      <c r="Q47" s="84">
        <v>0.6</v>
      </c>
      <c r="R47" s="84">
        <v>0.94599999999999995</v>
      </c>
      <c r="S47" s="84">
        <v>1.37</v>
      </c>
      <c r="T47" s="84">
        <v>1.0580000000000001</v>
      </c>
      <c r="U47" s="84">
        <v>0.68</v>
      </c>
      <c r="V47" s="84">
        <v>0.77600000000000002</v>
      </c>
      <c r="W47" s="84">
        <v>0.61889644522221299</v>
      </c>
      <c r="X47" s="84">
        <v>0.61616016145395303</v>
      </c>
      <c r="Y47" s="84">
        <v>0.59116920371436898</v>
      </c>
      <c r="Z47" s="84">
        <v>1.302</v>
      </c>
      <c r="AA47" s="84">
        <v>0.76400000000000001</v>
      </c>
      <c r="AB47" s="84">
        <v>1.246</v>
      </c>
      <c r="AC47" s="84">
        <v>0.77</v>
      </c>
      <c r="AD47" s="84">
        <v>0.60599999999999998</v>
      </c>
      <c r="AE47" s="84">
        <v>0.85799999999999998</v>
      </c>
      <c r="AF47" s="84">
        <v>0.92400000000000004</v>
      </c>
      <c r="AG47" s="84">
        <v>0.878</v>
      </c>
      <c r="AH47" s="84">
        <v>0.75600000000000001</v>
      </c>
      <c r="AI47" s="84">
        <v>0.82463736096316498</v>
      </c>
      <c r="AJ47" s="84">
        <v>0.89299499381041303</v>
      </c>
      <c r="AK47" s="84">
        <v>1.24287383133372</v>
      </c>
      <c r="AL47" s="84">
        <v>1.2583060017472401</v>
      </c>
      <c r="AM47" s="84">
        <v>0.86199999999999999</v>
      </c>
      <c r="AN47" s="84">
        <v>0.69599999999999995</v>
      </c>
      <c r="AO47" s="84">
        <v>1.304</v>
      </c>
      <c r="AP47" s="84">
        <v>0.66600000000000004</v>
      </c>
      <c r="AQ47" s="84">
        <v>0.628</v>
      </c>
      <c r="AR47" s="84">
        <v>0.81</v>
      </c>
      <c r="AS47" s="84">
        <v>0.94399999999999995</v>
      </c>
      <c r="AT47" s="84">
        <v>0.79</v>
      </c>
      <c r="AU47" s="84"/>
      <c r="AV47" s="85">
        <v>0.76400000000000001</v>
      </c>
      <c r="AW47" s="84">
        <v>0.66800000000000004</v>
      </c>
      <c r="AX47" s="84">
        <v>0.71</v>
      </c>
      <c r="AY47" s="88">
        <v>0.32400000000000001</v>
      </c>
      <c r="AZ47" s="84">
        <v>0.61599999999999999</v>
      </c>
      <c r="BA47" s="84">
        <v>0.60199999999999998</v>
      </c>
      <c r="BB47" s="84">
        <v>0.51200000000000001</v>
      </c>
    </row>
    <row r="48" spans="1:54">
      <c r="A48" s="77" t="s">
        <v>65</v>
      </c>
      <c r="B48" s="84"/>
      <c r="C48" s="84">
        <v>0.66200000000000003</v>
      </c>
      <c r="D48" s="84">
        <v>0.98599999999999999</v>
      </c>
      <c r="E48" s="84">
        <v>0.82</v>
      </c>
      <c r="F48" s="84">
        <v>0.87</v>
      </c>
      <c r="G48" s="84"/>
      <c r="H48" s="84">
        <v>2.0059999999999998</v>
      </c>
      <c r="I48" s="84">
        <v>2.6080000000000001</v>
      </c>
      <c r="J48" s="84">
        <v>3.9380000000000002</v>
      </c>
      <c r="K48" s="84">
        <v>3.0939999999999999</v>
      </c>
      <c r="L48" s="84">
        <v>2.496</v>
      </c>
      <c r="M48" s="84">
        <v>2.54</v>
      </c>
      <c r="N48" s="84">
        <v>3.95</v>
      </c>
      <c r="O48" s="84">
        <v>2.85</v>
      </c>
      <c r="P48" s="84">
        <v>2.2000000000000002</v>
      </c>
      <c r="Q48" s="84">
        <v>1.8520000000000001</v>
      </c>
      <c r="R48" s="84">
        <v>2.9</v>
      </c>
      <c r="S48" s="84">
        <v>3.794</v>
      </c>
      <c r="T48" s="84">
        <v>2.83</v>
      </c>
      <c r="U48" s="84">
        <v>1.8680000000000001</v>
      </c>
      <c r="V48" s="84">
        <v>2.4159999999999999</v>
      </c>
      <c r="W48" s="84">
        <v>1.7342537787354599</v>
      </c>
      <c r="X48" s="84">
        <v>1.7420886382663801</v>
      </c>
      <c r="Y48" s="84">
        <v>1.5346219158191801</v>
      </c>
      <c r="Z48" s="84">
        <v>4.0119999999999996</v>
      </c>
      <c r="AA48" s="84">
        <v>2.3780000000000001</v>
      </c>
      <c r="AB48" s="84">
        <v>3.4159999999999999</v>
      </c>
      <c r="AC48" s="84">
        <v>2.004</v>
      </c>
      <c r="AD48" s="84">
        <v>1.64</v>
      </c>
      <c r="AE48" s="84">
        <v>2.2559999999999998</v>
      </c>
      <c r="AF48" s="84">
        <v>2.6659999999999999</v>
      </c>
      <c r="AG48" s="84">
        <v>2.6059999999999999</v>
      </c>
      <c r="AH48" s="84">
        <v>2.3820000000000001</v>
      </c>
      <c r="AI48" s="84">
        <v>2.1518409345470602</v>
      </c>
      <c r="AJ48" s="84">
        <v>2.4487156579200899</v>
      </c>
      <c r="AK48" s="84">
        <v>3.3601425499839399</v>
      </c>
      <c r="AL48" s="84">
        <v>3.4430248045876102</v>
      </c>
      <c r="AM48" s="84">
        <v>2.7240000000000002</v>
      </c>
      <c r="AN48" s="84">
        <v>2.0019999999999998</v>
      </c>
      <c r="AO48" s="84">
        <v>4.08</v>
      </c>
      <c r="AP48" s="84">
        <v>2.0920000000000001</v>
      </c>
      <c r="AQ48" s="84">
        <v>1.9059999999999999</v>
      </c>
      <c r="AR48" s="84">
        <v>2.496</v>
      </c>
      <c r="AS48" s="84">
        <v>2.6040000000000001</v>
      </c>
      <c r="AT48" s="84">
        <v>2.452</v>
      </c>
      <c r="AU48" s="84"/>
      <c r="AV48" s="85">
        <v>2.3879999999999999</v>
      </c>
      <c r="AW48" s="84">
        <v>2.0419999999999998</v>
      </c>
      <c r="AX48" s="84">
        <v>2.1640000000000001</v>
      </c>
      <c r="AY48" s="88">
        <v>0.85799999999999998</v>
      </c>
      <c r="AZ48" s="84">
        <v>1.8620000000000001</v>
      </c>
      <c r="BA48" s="84">
        <v>1.8220000000000001</v>
      </c>
      <c r="BB48" s="84">
        <v>1.5620000000000001</v>
      </c>
    </row>
    <row r="49" spans="1:54">
      <c r="A49" s="77" t="s">
        <v>66</v>
      </c>
      <c r="B49" s="84"/>
      <c r="C49" s="84">
        <v>9.1999999999999998E-2</v>
      </c>
      <c r="D49" s="84">
        <v>0.14000000000000001</v>
      </c>
      <c r="E49" s="84">
        <v>0.12</v>
      </c>
      <c r="F49" s="84">
        <v>0.13</v>
      </c>
      <c r="G49" s="84"/>
      <c r="H49" s="84">
        <v>0.28799999999999998</v>
      </c>
      <c r="I49" s="84">
        <v>0.374</v>
      </c>
      <c r="J49" s="84">
        <v>0.55400000000000005</v>
      </c>
      <c r="K49" s="84">
        <v>0.43</v>
      </c>
      <c r="L49" s="84">
        <v>0.35399999999999998</v>
      </c>
      <c r="M49" s="84">
        <v>0.35399999999999998</v>
      </c>
      <c r="N49" s="84">
        <v>0.56200000000000006</v>
      </c>
      <c r="O49" s="84">
        <v>0.32</v>
      </c>
      <c r="P49" s="84">
        <v>0.312</v>
      </c>
      <c r="Q49" s="84">
        <v>0.248</v>
      </c>
      <c r="R49" s="84">
        <v>0.42</v>
      </c>
      <c r="S49" s="84">
        <v>0.53600000000000003</v>
      </c>
      <c r="T49" s="84">
        <v>0.41</v>
      </c>
      <c r="U49" s="84">
        <v>0.27</v>
      </c>
      <c r="V49" s="84">
        <v>0.34599999999999997</v>
      </c>
      <c r="W49" s="84">
        <v>0.251404443170123</v>
      </c>
      <c r="X49" s="84">
        <v>0.23887376874090599</v>
      </c>
      <c r="Y49" s="84">
        <v>0.22192529418798199</v>
      </c>
      <c r="Z49" s="84">
        <v>0.57999999999999996</v>
      </c>
      <c r="AA49" s="84">
        <v>0.34200000000000003</v>
      </c>
      <c r="AB49" s="84">
        <v>0.496</v>
      </c>
      <c r="AC49" s="84">
        <v>0.28000000000000003</v>
      </c>
      <c r="AD49" s="84">
        <v>0.23200000000000001</v>
      </c>
      <c r="AE49" s="84">
        <v>0.308</v>
      </c>
      <c r="AF49" s="84">
        <v>0.36199999999999999</v>
      </c>
      <c r="AG49" s="84">
        <v>0.34</v>
      </c>
      <c r="AH49" s="84">
        <v>0.31</v>
      </c>
      <c r="AI49" s="84">
        <v>0.30999036573438798</v>
      </c>
      <c r="AJ49" s="84">
        <v>0.34375361362866602</v>
      </c>
      <c r="AK49" s="84">
        <v>0.47127976386742099</v>
      </c>
      <c r="AL49" s="84">
        <v>0.51614046810636205</v>
      </c>
      <c r="AM49" s="84">
        <v>0.39</v>
      </c>
      <c r="AN49" s="84">
        <v>0.26600000000000001</v>
      </c>
      <c r="AO49" s="84">
        <v>0.58599999999999997</v>
      </c>
      <c r="AP49" s="84">
        <v>0.308</v>
      </c>
      <c r="AQ49" s="84">
        <v>0.27200000000000002</v>
      </c>
      <c r="AR49" s="84">
        <v>0.36</v>
      </c>
      <c r="AS49" s="84">
        <v>0.376</v>
      </c>
      <c r="AT49" s="84">
        <v>0.35599999999999998</v>
      </c>
      <c r="AU49" s="84"/>
      <c r="AV49" s="85">
        <v>0.34</v>
      </c>
      <c r="AW49" s="84">
        <v>0.28199999999999997</v>
      </c>
      <c r="AX49" s="84">
        <v>0.3</v>
      </c>
      <c r="AY49" s="88">
        <v>0.114</v>
      </c>
      <c r="AZ49" s="84">
        <v>0.25600000000000001</v>
      </c>
      <c r="BA49" s="84">
        <v>0.254</v>
      </c>
      <c r="BB49" s="84">
        <v>0.216</v>
      </c>
    </row>
    <row r="50" spans="1:54">
      <c r="A50" s="77" t="s">
        <v>67</v>
      </c>
      <c r="B50" s="84"/>
      <c r="C50" s="84">
        <v>0.65200000000000002</v>
      </c>
      <c r="D50" s="84">
        <v>1.054</v>
      </c>
      <c r="E50" s="84">
        <v>0.89</v>
      </c>
      <c r="F50" s="84">
        <v>0.85</v>
      </c>
      <c r="G50" s="84"/>
      <c r="H50" s="84">
        <v>2.0539999999999998</v>
      </c>
      <c r="I50" s="84">
        <v>2.6059999999999999</v>
      </c>
      <c r="J50" s="84">
        <v>3.9159999999999999</v>
      </c>
      <c r="K50" s="84">
        <v>2.948</v>
      </c>
      <c r="L50" s="84">
        <v>2.57</v>
      </c>
      <c r="M50" s="84">
        <v>2.4980000000000002</v>
      </c>
      <c r="N50" s="84">
        <v>3.972</v>
      </c>
      <c r="O50" s="84">
        <v>2.59</v>
      </c>
      <c r="P50" s="84">
        <v>2.1059999999999999</v>
      </c>
      <c r="Q50" s="84">
        <v>1.6779999999999999</v>
      </c>
      <c r="R50" s="84">
        <v>2.8119999999999998</v>
      </c>
      <c r="S50" s="84">
        <v>4.1500000000000004</v>
      </c>
      <c r="T50" s="84">
        <v>3.2360000000000002</v>
      </c>
      <c r="U50" s="84">
        <v>2.1320000000000001</v>
      </c>
      <c r="V50" s="84">
        <v>2.3839999999999999</v>
      </c>
      <c r="W50" s="84">
        <v>1.58178156974326</v>
      </c>
      <c r="X50" s="84">
        <v>1.6157587303276399</v>
      </c>
      <c r="Y50" s="84">
        <v>1.42845389304964</v>
      </c>
      <c r="Z50" s="84">
        <v>4.0460000000000003</v>
      </c>
      <c r="AA50" s="84">
        <v>2.2639999999999998</v>
      </c>
      <c r="AB50" s="84">
        <v>3.8279999999999998</v>
      </c>
      <c r="AC50" s="84">
        <v>2.0739999999999998</v>
      </c>
      <c r="AD50" s="84">
        <v>1.8220000000000001</v>
      </c>
      <c r="AE50" s="84">
        <v>2.29</v>
      </c>
      <c r="AF50" s="84">
        <v>2.448</v>
      </c>
      <c r="AG50" s="84">
        <v>2.464</v>
      </c>
      <c r="AH50" s="84">
        <v>2.258</v>
      </c>
      <c r="AI50" s="84">
        <v>1.9803284705994999</v>
      </c>
      <c r="AJ50" s="84">
        <v>2.2026542988876998</v>
      </c>
      <c r="AK50" s="84">
        <v>3.0023887936734002</v>
      </c>
      <c r="AL50" s="84">
        <v>3.3867591666369501</v>
      </c>
      <c r="AM50" s="84">
        <v>2.7320000000000002</v>
      </c>
      <c r="AN50" s="84">
        <v>1.748</v>
      </c>
      <c r="AO50" s="84">
        <v>3.8540000000000001</v>
      </c>
      <c r="AP50" s="84">
        <v>2.23</v>
      </c>
      <c r="AQ50" s="84">
        <v>1.82</v>
      </c>
      <c r="AR50" s="84">
        <v>2.4340000000000002</v>
      </c>
      <c r="AS50" s="84">
        <v>2.988</v>
      </c>
      <c r="AT50" s="84">
        <v>2.516</v>
      </c>
      <c r="AU50" s="84"/>
      <c r="AV50" s="85">
        <v>2.3780000000000001</v>
      </c>
      <c r="AW50" s="84">
        <v>1.96</v>
      </c>
      <c r="AX50" s="84">
        <v>2.1160000000000001</v>
      </c>
      <c r="AY50" s="88">
        <v>0.89600000000000002</v>
      </c>
      <c r="AZ50" s="84">
        <v>1.782</v>
      </c>
      <c r="BA50" s="84">
        <v>1.784</v>
      </c>
      <c r="BB50" s="84">
        <v>1.526</v>
      </c>
    </row>
    <row r="51" spans="1:54">
      <c r="A51" s="77" t="s">
        <v>68</v>
      </c>
      <c r="B51" s="84"/>
      <c r="C51" s="84">
        <v>0.09</v>
      </c>
      <c r="D51" s="84">
        <v>0.13400000000000001</v>
      </c>
      <c r="E51" s="84">
        <v>0.11</v>
      </c>
      <c r="F51" s="84">
        <v>0.12</v>
      </c>
      <c r="G51" s="84"/>
      <c r="H51" s="84">
        <v>0.28599999999999998</v>
      </c>
      <c r="I51" s="84">
        <v>0.36199999999999999</v>
      </c>
      <c r="J51" s="84">
        <v>0.53600000000000003</v>
      </c>
      <c r="K51" s="84">
        <v>0.41799999999999998</v>
      </c>
      <c r="L51" s="84">
        <v>0.378</v>
      </c>
      <c r="M51" s="84">
        <v>0.35399999999999998</v>
      </c>
      <c r="N51" s="84">
        <v>0.56999999999999995</v>
      </c>
      <c r="O51" s="84">
        <v>0.32800000000000001</v>
      </c>
      <c r="P51" s="84">
        <v>0.29199999999999998</v>
      </c>
      <c r="Q51" s="84">
        <v>0.24</v>
      </c>
      <c r="R51" s="84">
        <v>0.40600000000000003</v>
      </c>
      <c r="S51" s="84">
        <v>0.52200000000000002</v>
      </c>
      <c r="T51" s="84">
        <v>0.40799999999999997</v>
      </c>
      <c r="U51" s="84">
        <v>0.27200000000000002</v>
      </c>
      <c r="V51" s="84">
        <v>0.33600000000000002</v>
      </c>
      <c r="W51" s="84">
        <v>0.25252967002711002</v>
      </c>
      <c r="X51" s="84">
        <v>0.253664982202224</v>
      </c>
      <c r="Y51" s="84">
        <v>0.21028528598502599</v>
      </c>
      <c r="Z51" s="84">
        <v>0.57999999999999996</v>
      </c>
      <c r="AA51" s="84">
        <v>0.34200000000000003</v>
      </c>
      <c r="AB51" s="84">
        <v>0.48</v>
      </c>
      <c r="AC51" s="84">
        <v>0.248</v>
      </c>
      <c r="AD51" s="84">
        <v>0.22800000000000001</v>
      </c>
      <c r="AE51" s="84">
        <v>0.28599999999999998</v>
      </c>
      <c r="AF51" s="84">
        <v>0.33800000000000002</v>
      </c>
      <c r="AG51" s="84">
        <v>0.32</v>
      </c>
      <c r="AH51" s="84">
        <v>0.32200000000000001</v>
      </c>
      <c r="AI51" s="84">
        <v>0.28848882885417698</v>
      </c>
      <c r="AJ51" s="84">
        <v>0.32997732338899699</v>
      </c>
      <c r="AK51" s="84">
        <v>0.465029164040617</v>
      </c>
      <c r="AL51" s="84">
        <v>0.50471602788431402</v>
      </c>
      <c r="AM51" s="84">
        <v>0.38200000000000001</v>
      </c>
      <c r="AN51" s="84">
        <v>0.24</v>
      </c>
      <c r="AO51" s="84">
        <v>0.56999999999999995</v>
      </c>
      <c r="AP51" s="84">
        <v>0.32200000000000001</v>
      </c>
      <c r="AQ51" s="84">
        <v>0.26800000000000002</v>
      </c>
      <c r="AR51" s="84">
        <v>0.35399999999999998</v>
      </c>
      <c r="AS51" s="84">
        <v>0.374</v>
      </c>
      <c r="AT51" s="84">
        <v>0.35599999999999998</v>
      </c>
      <c r="AU51" s="84"/>
      <c r="AV51" s="85">
        <v>0.34200000000000003</v>
      </c>
      <c r="AW51" s="84">
        <v>0.27</v>
      </c>
      <c r="AX51" s="84">
        <v>0.29799999999999999</v>
      </c>
      <c r="AY51" s="88">
        <v>0.112</v>
      </c>
      <c r="AZ51" s="84">
        <v>0.25</v>
      </c>
      <c r="BA51" s="84">
        <v>0.254</v>
      </c>
      <c r="BB51" s="84">
        <v>0.216</v>
      </c>
    </row>
    <row r="52" spans="1:54">
      <c r="A52" s="77" t="s">
        <v>69</v>
      </c>
      <c r="B52" s="84"/>
      <c r="C52" s="84">
        <v>0.28399999999999997</v>
      </c>
      <c r="D52" s="84">
        <v>0.72</v>
      </c>
      <c r="E52" s="84">
        <v>0.8</v>
      </c>
      <c r="F52" s="84">
        <v>0.8</v>
      </c>
      <c r="G52" s="84"/>
      <c r="H52" s="84">
        <v>1.204</v>
      </c>
      <c r="I52" s="84">
        <v>1.53</v>
      </c>
      <c r="J52" s="84">
        <v>2.548</v>
      </c>
      <c r="K52" s="84">
        <v>1.724</v>
      </c>
      <c r="L52" s="84">
        <v>1.94</v>
      </c>
      <c r="M52" s="84">
        <v>1.9019999999999999</v>
      </c>
      <c r="N52" s="84">
        <v>2.3839999999999999</v>
      </c>
      <c r="O52" s="84">
        <v>1.3080000000000001</v>
      </c>
      <c r="P52" s="84">
        <v>1.276</v>
      </c>
      <c r="Q52" s="84">
        <v>2.5920000000000001</v>
      </c>
      <c r="R52" s="84">
        <v>1.44</v>
      </c>
      <c r="S52" s="84">
        <v>2.3220000000000001</v>
      </c>
      <c r="T52" s="84">
        <v>1.712</v>
      </c>
      <c r="U52" s="84">
        <v>1.004</v>
      </c>
      <c r="V52" s="84">
        <v>1.496</v>
      </c>
      <c r="W52" s="84">
        <v>1.2011842261544601</v>
      </c>
      <c r="X52" s="84">
        <v>1.12235542396358</v>
      </c>
      <c r="Y52" s="84">
        <v>1.2838861258160399</v>
      </c>
      <c r="Z52" s="84">
        <v>2.13</v>
      </c>
      <c r="AA52" s="84">
        <v>1.3480000000000001</v>
      </c>
      <c r="AB52" s="84">
        <v>2.1139999999999999</v>
      </c>
      <c r="AC52" s="84">
        <v>1.3660000000000001</v>
      </c>
      <c r="AD52" s="84">
        <v>1.5920000000000001</v>
      </c>
      <c r="AE52" s="84">
        <v>1.772</v>
      </c>
      <c r="AF52" s="84">
        <v>1.8580000000000001</v>
      </c>
      <c r="AG52" s="84">
        <v>1.8320000000000001</v>
      </c>
      <c r="AH52" s="84">
        <v>1.702</v>
      </c>
      <c r="AI52" s="84">
        <v>2.05079429142571</v>
      </c>
      <c r="AJ52" s="84">
        <v>1.93063118000335</v>
      </c>
      <c r="AK52" s="84">
        <v>2.65797002448992</v>
      </c>
      <c r="AL52" s="84">
        <v>2.5228097043096702</v>
      </c>
      <c r="AM52" s="84">
        <v>1.3620000000000001</v>
      </c>
      <c r="AN52" s="84">
        <v>1.6879999999999999</v>
      </c>
      <c r="AO52" s="84">
        <v>2.15</v>
      </c>
      <c r="AP52" s="84">
        <v>1.532</v>
      </c>
      <c r="AQ52" s="84">
        <v>2.012</v>
      </c>
      <c r="AR52" s="84">
        <v>1.3420000000000001</v>
      </c>
      <c r="AS52" s="84">
        <v>1.6339999999999999</v>
      </c>
      <c r="AT52" s="84">
        <v>1.478</v>
      </c>
      <c r="AU52" s="84"/>
      <c r="AV52" s="85">
        <v>1.454</v>
      </c>
      <c r="AW52" s="84">
        <v>2.476</v>
      </c>
      <c r="AX52" s="84">
        <v>3.1680000000000001</v>
      </c>
      <c r="AY52" s="88">
        <v>2.242</v>
      </c>
      <c r="AZ52" s="84">
        <v>2.722</v>
      </c>
      <c r="BA52" s="84">
        <v>2.3439999999999999</v>
      </c>
      <c r="BB52" s="84">
        <v>2.16</v>
      </c>
    </row>
    <row r="53" spans="1:54">
      <c r="A53" s="77" t="s">
        <v>70</v>
      </c>
      <c r="B53" s="84"/>
      <c r="C53" s="84">
        <v>0.04</v>
      </c>
      <c r="D53" s="84">
        <v>7.1999999999999995E-2</v>
      </c>
      <c r="E53" s="84">
        <v>0.19</v>
      </c>
      <c r="F53" s="84">
        <v>0.14000000000000001</v>
      </c>
      <c r="G53" s="84"/>
      <c r="H53" s="84">
        <v>0.14399999999999999</v>
      </c>
      <c r="I53" s="84">
        <v>0.186</v>
      </c>
      <c r="J53" s="84">
        <v>0.32800000000000001</v>
      </c>
      <c r="K53" s="84">
        <v>0.27</v>
      </c>
      <c r="L53" s="84">
        <v>0.33800000000000002</v>
      </c>
      <c r="M53" s="84">
        <v>0.31</v>
      </c>
      <c r="N53" s="84">
        <v>0.23400000000000001</v>
      </c>
      <c r="O53" s="84">
        <v>0.12</v>
      </c>
      <c r="P53" s="84">
        <v>0.13</v>
      </c>
      <c r="Q53" s="84">
        <v>0.35799999999999998</v>
      </c>
      <c r="R53" s="84">
        <v>0.23400000000000001</v>
      </c>
      <c r="S53" s="84">
        <v>0.49399999999999999</v>
      </c>
      <c r="T53" s="84">
        <v>0.28199999999999997</v>
      </c>
      <c r="U53" s="84">
        <v>0.124</v>
      </c>
      <c r="V53" s="84">
        <v>0.71599999999999997</v>
      </c>
      <c r="W53" s="84">
        <v>0.15381605060648601</v>
      </c>
      <c r="X53" s="84">
        <v>0.16670571155147801</v>
      </c>
      <c r="Y53" s="84">
        <v>0.11573764346279899</v>
      </c>
      <c r="Z53" s="84">
        <v>0.29399999999999998</v>
      </c>
      <c r="AA53" s="84">
        <v>0.36599999999999999</v>
      </c>
      <c r="AB53" s="84">
        <v>0.46600000000000003</v>
      </c>
      <c r="AC53" s="84">
        <v>0.17599999999999999</v>
      </c>
      <c r="AD53" s="84">
        <v>0.19800000000000001</v>
      </c>
      <c r="AE53" s="84">
        <v>0.32400000000000001</v>
      </c>
      <c r="AF53" s="84">
        <v>0.28999999999999998</v>
      </c>
      <c r="AG53" s="84">
        <v>0.45200000000000001</v>
      </c>
      <c r="AH53" s="84">
        <v>0.57599999999999996</v>
      </c>
      <c r="AI53" s="84">
        <v>0.32177165617041698</v>
      </c>
      <c r="AJ53" s="84">
        <v>0.43915622513208402</v>
      </c>
      <c r="AK53" s="84">
        <v>0.53632141097036601</v>
      </c>
      <c r="AL53" s="84">
        <v>0.444980515630721</v>
      </c>
      <c r="AM53" s="84">
        <v>0.192</v>
      </c>
      <c r="AN53" s="84">
        <v>0.216</v>
      </c>
      <c r="AO53" s="84">
        <v>0.32200000000000001</v>
      </c>
      <c r="AP53" s="84">
        <v>0.192</v>
      </c>
      <c r="AQ53" s="84">
        <v>0.48399999999999999</v>
      </c>
      <c r="AR53" s="84">
        <v>0.308</v>
      </c>
      <c r="AS53" s="84">
        <v>0.19400000000000001</v>
      </c>
      <c r="AT53" s="84">
        <v>0.158</v>
      </c>
      <c r="AU53" s="84"/>
      <c r="AV53" s="85">
        <v>0.45600000000000002</v>
      </c>
      <c r="AW53" s="84">
        <v>0.43</v>
      </c>
      <c r="AX53" s="84">
        <v>0.32600000000000001</v>
      </c>
      <c r="AY53" s="88">
        <v>0.12</v>
      </c>
      <c r="AZ53" s="84">
        <v>0.29399999999999998</v>
      </c>
      <c r="BA53" s="84">
        <v>0.25</v>
      </c>
      <c r="BB53" s="84">
        <v>0.14399999999999999</v>
      </c>
    </row>
    <row r="54" spans="1:54">
      <c r="A54" s="77" t="s">
        <v>71</v>
      </c>
      <c r="B54" s="84"/>
      <c r="C54" s="84">
        <v>0</v>
      </c>
      <c r="D54" s="84">
        <v>0.96799999999999997</v>
      </c>
      <c r="E54" s="84">
        <v>0.12</v>
      </c>
      <c r="F54" s="84" t="s">
        <v>170</v>
      </c>
      <c r="G54" s="84"/>
      <c r="H54" s="84">
        <v>0</v>
      </c>
      <c r="I54" s="84">
        <v>1.196</v>
      </c>
      <c r="J54" s="84">
        <v>1.0760000000000001</v>
      </c>
      <c r="K54" s="84">
        <v>6.8000000000000005E-2</v>
      </c>
      <c r="L54" s="84">
        <v>0.39600000000000002</v>
      </c>
      <c r="M54" s="84">
        <v>0.624</v>
      </c>
      <c r="N54" s="84">
        <v>0.45800000000000002</v>
      </c>
      <c r="O54" s="84">
        <v>0.68200000000000005</v>
      </c>
      <c r="P54" s="84">
        <v>0.51600000000000001</v>
      </c>
      <c r="Q54" s="84">
        <v>0.24399999999999999</v>
      </c>
      <c r="R54" s="84">
        <v>0.82199999999999995</v>
      </c>
      <c r="S54" s="84">
        <v>0.624</v>
      </c>
      <c r="T54" s="84">
        <v>0.16600000000000001</v>
      </c>
      <c r="U54" s="84">
        <v>0.156</v>
      </c>
      <c r="V54" s="84">
        <v>0.19400000000000001</v>
      </c>
      <c r="W54" s="84" t="s">
        <v>170</v>
      </c>
      <c r="X54" s="84" t="s">
        <v>170</v>
      </c>
      <c r="Y54" s="84" t="s">
        <v>170</v>
      </c>
      <c r="Z54" s="84">
        <v>0.29399999999999998</v>
      </c>
      <c r="AA54" s="84">
        <v>0.71799999999999997</v>
      </c>
      <c r="AB54" s="84">
        <v>0.33800000000000002</v>
      </c>
      <c r="AC54" s="84">
        <v>0.22800000000000001</v>
      </c>
      <c r="AD54" s="84">
        <v>0.156</v>
      </c>
      <c r="AE54" s="84">
        <v>0.436</v>
      </c>
      <c r="AF54" s="84">
        <v>0.432</v>
      </c>
      <c r="AG54" s="84">
        <v>0.28000000000000003</v>
      </c>
      <c r="AH54" s="84">
        <v>0.17399999999999999</v>
      </c>
      <c r="AI54" s="84" t="s">
        <v>170</v>
      </c>
      <c r="AJ54" s="84" t="s">
        <v>170</v>
      </c>
      <c r="AK54" s="84" t="s">
        <v>170</v>
      </c>
      <c r="AL54" s="84" t="s">
        <v>170</v>
      </c>
      <c r="AM54" s="84">
        <v>3.5999999999999997E-2</v>
      </c>
      <c r="AN54" s="84">
        <v>0.498</v>
      </c>
      <c r="AO54" s="84">
        <v>2.0579999999999998</v>
      </c>
      <c r="AP54" s="84">
        <v>0</v>
      </c>
      <c r="AQ54" s="84">
        <v>0.17199999999999999</v>
      </c>
      <c r="AR54" s="84">
        <v>0.31</v>
      </c>
      <c r="AS54" s="84">
        <v>0.28000000000000003</v>
      </c>
      <c r="AT54" s="84">
        <v>0</v>
      </c>
      <c r="AU54" s="84"/>
      <c r="AV54" s="85">
        <v>0.51</v>
      </c>
      <c r="AW54" s="84">
        <v>3.9620000000000002</v>
      </c>
      <c r="AX54" s="84">
        <v>0.1</v>
      </c>
      <c r="AY54" s="88">
        <v>0.21199999999999999</v>
      </c>
      <c r="AZ54" s="84">
        <v>0</v>
      </c>
      <c r="BA54" s="84">
        <v>0</v>
      </c>
      <c r="BB54" s="84">
        <v>0</v>
      </c>
    </row>
    <row r="55" spans="1:54">
      <c r="A55" s="77" t="s">
        <v>72</v>
      </c>
      <c r="B55" s="84"/>
      <c r="C55" s="84">
        <v>4.6879999999999997</v>
      </c>
      <c r="D55" s="84">
        <v>4.1580000000000004</v>
      </c>
      <c r="E55" s="84">
        <v>2.78</v>
      </c>
      <c r="F55" s="84">
        <v>3.88</v>
      </c>
      <c r="G55" s="84"/>
      <c r="H55" s="84">
        <v>7.8280000000000003</v>
      </c>
      <c r="I55" s="84">
        <v>7.266</v>
      </c>
      <c r="J55" s="84">
        <v>5.0880000000000001</v>
      </c>
      <c r="K55" s="84">
        <v>1.6819999999999999</v>
      </c>
      <c r="L55" s="84">
        <v>10.706</v>
      </c>
      <c r="M55" s="84">
        <v>16.89</v>
      </c>
      <c r="N55" s="84">
        <v>4.3220000000000001</v>
      </c>
      <c r="O55" s="84">
        <v>6.0860000000000003</v>
      </c>
      <c r="P55" s="84">
        <v>6.2939999999999996</v>
      </c>
      <c r="Q55" s="84">
        <v>5.5419999999999998</v>
      </c>
      <c r="R55" s="84">
        <v>2.0179999999999998</v>
      </c>
      <c r="S55" s="84">
        <v>3.5179999999999998</v>
      </c>
      <c r="T55" s="84">
        <v>3.258</v>
      </c>
      <c r="U55" s="84">
        <v>3.12</v>
      </c>
      <c r="V55" s="84">
        <v>9.6739999999999995</v>
      </c>
      <c r="W55" s="84">
        <v>2.71989745969063</v>
      </c>
      <c r="X55" s="84">
        <v>2.6668188238595998</v>
      </c>
      <c r="Y55" s="84">
        <v>2.8064936841740802</v>
      </c>
      <c r="Z55" s="84">
        <v>2.7120000000000002</v>
      </c>
      <c r="AA55" s="84">
        <v>3.0979999999999999</v>
      </c>
      <c r="AB55" s="84">
        <v>2.76</v>
      </c>
      <c r="AC55" s="84">
        <v>2.8460000000000001</v>
      </c>
      <c r="AD55" s="84">
        <v>3.6819999999999999</v>
      </c>
      <c r="AE55" s="84">
        <v>3.036</v>
      </c>
      <c r="AF55" s="84">
        <v>2.84</v>
      </c>
      <c r="AG55" s="84">
        <v>4.6340000000000003</v>
      </c>
      <c r="AH55" s="84">
        <v>2.2200000000000002</v>
      </c>
      <c r="AI55" s="84">
        <v>2.1607272490576901</v>
      </c>
      <c r="AJ55" s="84">
        <v>3.4756818045824498</v>
      </c>
      <c r="AK55" s="84">
        <v>2.5981440695820202</v>
      </c>
      <c r="AL55" s="84">
        <v>6.95810698067414</v>
      </c>
      <c r="AM55" s="84">
        <v>1.3939999999999999</v>
      </c>
      <c r="AN55" s="84">
        <v>4.468</v>
      </c>
      <c r="AO55" s="84">
        <v>5.9859999999999998</v>
      </c>
      <c r="AP55" s="84">
        <v>1.6160000000000001</v>
      </c>
      <c r="AQ55" s="84">
        <v>4.4219999999999997</v>
      </c>
      <c r="AR55" s="84">
        <v>2.774</v>
      </c>
      <c r="AS55" s="84">
        <v>1.0740000000000001</v>
      </c>
      <c r="AT55" s="84">
        <v>4.17</v>
      </c>
      <c r="AU55" s="84"/>
      <c r="AV55" s="85">
        <v>4.07</v>
      </c>
      <c r="AW55" s="84">
        <v>33.22</v>
      </c>
      <c r="AX55" s="84">
        <v>4.548</v>
      </c>
      <c r="AY55" s="88">
        <v>5.5220000000000002</v>
      </c>
      <c r="AZ55" s="84">
        <v>3.258</v>
      </c>
      <c r="BA55" s="84">
        <v>3.9780000000000002</v>
      </c>
      <c r="BB55" s="84">
        <v>5.3440000000000003</v>
      </c>
    </row>
    <row r="56" spans="1:54">
      <c r="A56" s="77" t="s">
        <v>73</v>
      </c>
      <c r="B56" s="84"/>
      <c r="C56" s="84">
        <v>0.03</v>
      </c>
      <c r="D56" s="84">
        <v>0.22800000000000001</v>
      </c>
      <c r="E56" s="84">
        <v>0.43</v>
      </c>
      <c r="F56" s="84">
        <v>0.84</v>
      </c>
      <c r="G56" s="84"/>
      <c r="H56" s="84">
        <v>0.17</v>
      </c>
      <c r="I56" s="84">
        <v>0.75800000000000001</v>
      </c>
      <c r="J56" s="84">
        <v>0.75800000000000001</v>
      </c>
      <c r="K56" s="84">
        <v>0.16800000000000001</v>
      </c>
      <c r="L56" s="84">
        <v>1.556</v>
      </c>
      <c r="M56" s="84">
        <v>0.73399999999999999</v>
      </c>
      <c r="N56" s="84">
        <v>1.04</v>
      </c>
      <c r="O56" s="84">
        <v>0.20399999999999999</v>
      </c>
      <c r="P56" s="84">
        <v>0.29199999999999998</v>
      </c>
      <c r="Q56" s="84">
        <v>2.1160000000000001</v>
      </c>
      <c r="R56" s="84">
        <v>0.11</v>
      </c>
      <c r="S56" s="84">
        <v>0.98799999999999999</v>
      </c>
      <c r="T56" s="84">
        <v>0.54600000000000004</v>
      </c>
      <c r="U56" s="84">
        <v>0.158</v>
      </c>
      <c r="V56" s="84">
        <v>1.71</v>
      </c>
      <c r="W56" s="84">
        <v>0.303543431858319</v>
      </c>
      <c r="X56" s="84">
        <v>0.29746655315319598</v>
      </c>
      <c r="Y56" s="84">
        <v>0.58221115925466904</v>
      </c>
      <c r="Z56" s="84">
        <v>0.74199999999999999</v>
      </c>
      <c r="AA56" s="84">
        <v>1.27</v>
      </c>
      <c r="AB56" s="84">
        <v>1.014</v>
      </c>
      <c r="AC56" s="84">
        <v>0.38200000000000001</v>
      </c>
      <c r="AD56" s="84">
        <v>0.40600000000000003</v>
      </c>
      <c r="AE56" s="84">
        <v>0.94599999999999995</v>
      </c>
      <c r="AF56" s="84">
        <v>0.78</v>
      </c>
      <c r="AG56" s="84">
        <v>0.71399999999999997</v>
      </c>
      <c r="AH56" s="84">
        <v>0.68</v>
      </c>
      <c r="AI56" s="84">
        <v>0.60278191250529101</v>
      </c>
      <c r="AJ56" s="84">
        <v>0.68560706947175099</v>
      </c>
      <c r="AK56" s="84">
        <v>0.88436717411297705</v>
      </c>
      <c r="AL56" s="84">
        <v>0.89569865483842104</v>
      </c>
      <c r="AM56" s="84">
        <v>0.41799999999999998</v>
      </c>
      <c r="AN56" s="84">
        <v>0.27800000000000002</v>
      </c>
      <c r="AO56" s="84">
        <v>1.19</v>
      </c>
      <c r="AP56" s="84">
        <v>0.47199999999999998</v>
      </c>
      <c r="AQ56" s="84">
        <v>0.98399999999999999</v>
      </c>
      <c r="AR56" s="84">
        <v>0.20200000000000001</v>
      </c>
      <c r="AS56" s="84">
        <v>0.312</v>
      </c>
      <c r="AT56" s="84">
        <v>0.28599999999999998</v>
      </c>
      <c r="AU56" s="84"/>
      <c r="AV56" s="85">
        <v>0.23200000000000001</v>
      </c>
      <c r="AW56" s="84">
        <v>3.488</v>
      </c>
      <c r="AX56" s="84">
        <v>1.1100000000000001</v>
      </c>
      <c r="AY56" s="88">
        <v>0.55200000000000005</v>
      </c>
      <c r="AZ56" s="84">
        <v>1.242</v>
      </c>
      <c r="BA56" s="84">
        <v>1.272</v>
      </c>
      <c r="BB56" s="84">
        <v>0.81200000000000006</v>
      </c>
    </row>
    <row r="57" spans="1:54">
      <c r="A57" s="77" t="s">
        <v>74</v>
      </c>
      <c r="B57" s="84"/>
      <c r="C57" s="84">
        <v>7.5999999999999998E-2</v>
      </c>
      <c r="D57" s="84">
        <v>0.06</v>
      </c>
      <c r="E57" s="84">
        <v>0.33</v>
      </c>
      <c r="F57" s="84">
        <v>0.65</v>
      </c>
      <c r="G57" s="84"/>
      <c r="H57" s="84">
        <v>4.5999999999999999E-2</v>
      </c>
      <c r="I57" s="84">
        <v>0.22</v>
      </c>
      <c r="J57" s="84">
        <v>0.31</v>
      </c>
      <c r="K57" s="84">
        <v>5.1999999999999998E-2</v>
      </c>
      <c r="L57" s="84">
        <v>0.94199999999999995</v>
      </c>
      <c r="M57" s="84">
        <v>0.52600000000000002</v>
      </c>
      <c r="N57" s="84">
        <v>0.45200000000000001</v>
      </c>
      <c r="O57" s="84">
        <v>6.4000000000000001E-2</v>
      </c>
      <c r="P57" s="84">
        <v>0.122</v>
      </c>
      <c r="Q57" s="84">
        <v>0.51800000000000002</v>
      </c>
      <c r="R57" s="84">
        <v>3.5999999999999997E-2</v>
      </c>
      <c r="S57" s="84">
        <v>0.42399999999999999</v>
      </c>
      <c r="T57" s="84">
        <v>0.14799999999999999</v>
      </c>
      <c r="U57" s="84">
        <v>3.4000000000000002E-2</v>
      </c>
      <c r="V57" s="84">
        <v>0.59199999999999997</v>
      </c>
      <c r="W57" s="84">
        <v>9.4299517749590805E-2</v>
      </c>
      <c r="X57" s="84">
        <v>0.123555732052819</v>
      </c>
      <c r="Y57" s="84">
        <v>6.9999568712797194E-2</v>
      </c>
      <c r="Z57" s="84">
        <v>0.20799999999999999</v>
      </c>
      <c r="AA57" s="84">
        <v>0.29199999999999998</v>
      </c>
      <c r="AB57" s="84">
        <v>0.4</v>
      </c>
      <c r="AC57" s="84">
        <v>0.29399999999999998</v>
      </c>
      <c r="AD57" s="84">
        <v>0.1</v>
      </c>
      <c r="AE57" s="84">
        <v>0.26600000000000001</v>
      </c>
      <c r="AF57" s="84">
        <v>0.56799999999999995</v>
      </c>
      <c r="AG57" s="84">
        <v>0.254</v>
      </c>
      <c r="AH57" s="84">
        <v>0.14000000000000001</v>
      </c>
      <c r="AI57" s="84">
        <v>0.22683312475124601</v>
      </c>
      <c r="AJ57" s="84">
        <v>0.40870557384940498</v>
      </c>
      <c r="AK57" s="84">
        <v>0.85876906389729202</v>
      </c>
      <c r="AL57" s="84">
        <v>0.34686730970965202</v>
      </c>
      <c r="AM57" s="84">
        <v>0.11</v>
      </c>
      <c r="AN57" s="84">
        <v>0.16200000000000001</v>
      </c>
      <c r="AO57" s="84">
        <v>1.07</v>
      </c>
      <c r="AP57" s="84">
        <v>0.11799999999999999</v>
      </c>
      <c r="AQ57" s="84">
        <v>0.72</v>
      </c>
      <c r="AR57" s="84">
        <v>9.6000000000000002E-2</v>
      </c>
      <c r="AS57" s="84">
        <v>7.8E-2</v>
      </c>
      <c r="AT57" s="84">
        <v>7.5999999999999998E-2</v>
      </c>
      <c r="AU57" s="84"/>
      <c r="AV57" s="85">
        <v>4.8000000000000001E-2</v>
      </c>
      <c r="AW57" s="84">
        <v>1.1559999999999999</v>
      </c>
      <c r="AX57" s="84">
        <v>0.36199999999999999</v>
      </c>
      <c r="AY57" s="88">
        <v>0.25</v>
      </c>
      <c r="AZ57" s="84">
        <v>0.33200000000000002</v>
      </c>
      <c r="BA57" s="84">
        <v>0.438</v>
      </c>
      <c r="BB57" s="84">
        <v>0.25600000000000001</v>
      </c>
    </row>
    <row r="58" spans="1:54">
      <c r="A58" s="77" t="s">
        <v>261</v>
      </c>
      <c r="B58" s="84"/>
      <c r="C58" s="84">
        <f>SUM(C38:C51)</f>
        <v>11.058000000000003</v>
      </c>
      <c r="D58" s="84">
        <f t="shared" ref="D58:BB58" si="7">SUM(D38:D51)</f>
        <v>24.783999999999999</v>
      </c>
      <c r="E58" s="84">
        <f t="shared" si="7"/>
        <v>25.69</v>
      </c>
      <c r="F58" s="84">
        <f t="shared" si="7"/>
        <v>22.690000000000008</v>
      </c>
      <c r="G58" s="84"/>
      <c r="H58" s="84">
        <f t="shared" si="7"/>
        <v>28.136000000000003</v>
      </c>
      <c r="I58" s="84">
        <f t="shared" si="7"/>
        <v>55.856000000000002</v>
      </c>
      <c r="J58" s="84">
        <f t="shared" si="7"/>
        <v>76.064000000000007</v>
      </c>
      <c r="K58" s="84">
        <f t="shared" si="7"/>
        <v>68.110000000000014</v>
      </c>
      <c r="L58" s="84">
        <f t="shared" si="7"/>
        <v>74.706000000000003</v>
      </c>
      <c r="M58" s="84">
        <f t="shared" si="7"/>
        <v>78.775999999999996</v>
      </c>
      <c r="N58" s="84">
        <f t="shared" si="7"/>
        <v>67.139999999999986</v>
      </c>
      <c r="O58" s="84">
        <f t="shared" si="7"/>
        <v>39.414000000000001</v>
      </c>
      <c r="P58" s="84">
        <f t="shared" si="7"/>
        <v>33.136000000000003</v>
      </c>
      <c r="Q58" s="84">
        <f t="shared" si="7"/>
        <v>110.2</v>
      </c>
      <c r="R58" s="84">
        <f t="shared" si="7"/>
        <v>45.606000000000002</v>
      </c>
      <c r="S58" s="84">
        <f t="shared" si="7"/>
        <v>81.258000000000024</v>
      </c>
      <c r="T58" s="84">
        <f t="shared" si="7"/>
        <v>62.467999999999989</v>
      </c>
      <c r="U58" s="84">
        <f t="shared" si="7"/>
        <v>29.277999999999995</v>
      </c>
      <c r="V58" s="84">
        <f t="shared" si="7"/>
        <v>47.815999999999995</v>
      </c>
      <c r="W58" s="84">
        <f t="shared" si="7"/>
        <v>33.384052188857964</v>
      </c>
      <c r="X58" s="84">
        <f t="shared" si="7"/>
        <v>33.476372341600445</v>
      </c>
      <c r="Y58" s="84">
        <f t="shared" si="7"/>
        <v>31.996411744877197</v>
      </c>
      <c r="Z58" s="84">
        <f t="shared" si="7"/>
        <v>72.057999999999993</v>
      </c>
      <c r="AA58" s="84">
        <f t="shared" si="7"/>
        <v>47.796000000000006</v>
      </c>
      <c r="AB58" s="84">
        <f t="shared" si="7"/>
        <v>72.531999999999996</v>
      </c>
      <c r="AC58" s="84">
        <f t="shared" si="7"/>
        <v>43.535999999999994</v>
      </c>
      <c r="AD58" s="84">
        <f t="shared" si="7"/>
        <v>45.256000000000007</v>
      </c>
      <c r="AE58" s="84">
        <f t="shared" si="7"/>
        <v>66.66</v>
      </c>
      <c r="AF58" s="84">
        <f t="shared" si="7"/>
        <v>65.051999999999992</v>
      </c>
      <c r="AG58" s="84">
        <f t="shared" si="7"/>
        <v>70.793999999999983</v>
      </c>
      <c r="AH58" s="84">
        <f t="shared" si="7"/>
        <v>97.754000000000005</v>
      </c>
      <c r="AI58" s="84">
        <f t="shared" si="7"/>
        <v>60.857674174565688</v>
      </c>
      <c r="AJ58" s="84">
        <f t="shared" si="7"/>
        <v>68.577303347376272</v>
      </c>
      <c r="AK58" s="84">
        <f t="shared" si="7"/>
        <v>84.632903889380685</v>
      </c>
      <c r="AL58" s="84">
        <f t="shared" si="7"/>
        <v>68.616784258820729</v>
      </c>
      <c r="AM58" s="84">
        <f t="shared" si="7"/>
        <v>37.948</v>
      </c>
      <c r="AN58" s="84">
        <f t="shared" si="7"/>
        <v>67.730000000000018</v>
      </c>
      <c r="AO58" s="84">
        <f t="shared" si="7"/>
        <v>73.36999999999999</v>
      </c>
      <c r="AP58" s="84">
        <f t="shared" si="7"/>
        <v>35.596000000000004</v>
      </c>
      <c r="AQ58" s="84">
        <f t="shared" si="7"/>
        <v>65.634</v>
      </c>
      <c r="AR58" s="84">
        <f t="shared" si="7"/>
        <v>37.439999999999991</v>
      </c>
      <c r="AS58" s="84">
        <f t="shared" si="7"/>
        <v>42.397999999999996</v>
      </c>
      <c r="AT58" s="84">
        <f t="shared" si="7"/>
        <v>37.463999999999999</v>
      </c>
      <c r="AU58" s="84"/>
      <c r="AV58" s="84">
        <f t="shared" si="7"/>
        <v>81.713999999999999</v>
      </c>
      <c r="AW58" s="84">
        <f t="shared" ref="AW58" si="8">SUM(AW38:AW51)</f>
        <v>117.42</v>
      </c>
      <c r="AX58" s="84">
        <f t="shared" si="7"/>
        <v>73.658000000000001</v>
      </c>
      <c r="AY58" s="84">
        <f t="shared" si="7"/>
        <v>49.243999999999993</v>
      </c>
      <c r="AZ58" s="84">
        <f t="shared" si="7"/>
        <v>85.74</v>
      </c>
      <c r="BA58" s="84">
        <f t="shared" si="7"/>
        <v>60.733999999999995</v>
      </c>
      <c r="BB58" s="84">
        <f t="shared" si="7"/>
        <v>57.294000000000011</v>
      </c>
    </row>
    <row r="59" spans="1:54">
      <c r="A59" s="77" t="s">
        <v>76</v>
      </c>
      <c r="B59" s="84">
        <v>0</v>
      </c>
      <c r="C59" s="84">
        <v>1.716</v>
      </c>
      <c r="D59" s="84">
        <v>2.6839999999999997</v>
      </c>
      <c r="E59" s="84">
        <v>2.25</v>
      </c>
      <c r="F59" s="84">
        <v>2.27</v>
      </c>
      <c r="G59" s="84"/>
      <c r="H59" s="84">
        <v>5.2759999999999989</v>
      </c>
      <c r="I59" s="84">
        <v>6.7880000000000003</v>
      </c>
      <c r="J59" s="84">
        <v>10.224</v>
      </c>
      <c r="K59" s="84">
        <v>7.9379999999999997</v>
      </c>
      <c r="L59" s="84">
        <v>6.6379999999999999</v>
      </c>
      <c r="M59" s="84">
        <v>6.5880000000000001</v>
      </c>
      <c r="N59" s="84">
        <v>10.336</v>
      </c>
      <c r="O59" s="84">
        <v>6.9980000000000002</v>
      </c>
      <c r="P59" s="84">
        <v>5.6479999999999997</v>
      </c>
      <c r="Q59" s="84">
        <v>4.6180000000000003</v>
      </c>
      <c r="R59" s="84">
        <v>7.4839999999999991</v>
      </c>
      <c r="S59" s="84">
        <v>10.372</v>
      </c>
      <c r="T59" s="84">
        <v>7.9420000000000011</v>
      </c>
      <c r="U59" s="84">
        <v>5.2220000000000004</v>
      </c>
      <c r="V59" s="84">
        <v>6.2580000000000009</v>
      </c>
      <c r="W59" s="84">
        <v>4.4388659068981662</v>
      </c>
      <c r="X59" s="84">
        <v>4.4665462809911034</v>
      </c>
      <c r="Y59" s="84">
        <v>3.9864555927561969</v>
      </c>
      <c r="Z59" s="84">
        <v>10.520000000000001</v>
      </c>
      <c r="AA59" s="84">
        <v>6.09</v>
      </c>
      <c r="AB59" s="84">
        <v>9.4659999999999993</v>
      </c>
      <c r="AC59" s="84">
        <v>5.3760000000000003</v>
      </c>
      <c r="AD59" s="84">
        <v>4.5280000000000005</v>
      </c>
      <c r="AE59" s="84">
        <v>5.9979999999999993</v>
      </c>
      <c r="AF59" s="84">
        <v>6.7380000000000004</v>
      </c>
      <c r="AG59" s="84">
        <v>6.6080000000000005</v>
      </c>
      <c r="AH59" s="84">
        <v>6.0279999999999996</v>
      </c>
      <c r="AI59" s="84">
        <v>5.5552859606982903</v>
      </c>
      <c r="AJ59" s="84">
        <v>6.2180958876358652</v>
      </c>
      <c r="AK59" s="84">
        <v>8.5417141028990979</v>
      </c>
      <c r="AL59" s="84">
        <v>9.1089464689624755</v>
      </c>
      <c r="AM59" s="84">
        <v>7.09</v>
      </c>
      <c r="AN59" s="84">
        <v>4.952</v>
      </c>
      <c r="AO59" s="84">
        <v>10.394000000000002</v>
      </c>
      <c r="AP59" s="84">
        <v>5.6179999999999994</v>
      </c>
      <c r="AQ59" s="84">
        <v>4.8940000000000001</v>
      </c>
      <c r="AR59" s="84">
        <v>6.4539999999999997</v>
      </c>
      <c r="AS59" s="84">
        <v>7.2859999999999996</v>
      </c>
      <c r="AT59" s="84">
        <v>6.47</v>
      </c>
      <c r="AU59" s="84"/>
      <c r="AV59" s="85">
        <v>6.2119999999999997</v>
      </c>
      <c r="AW59" s="84">
        <f>SUM(AW47:AW51)</f>
        <v>5.2219999999999995</v>
      </c>
      <c r="AX59" s="84">
        <v>5.59</v>
      </c>
      <c r="AY59" s="84">
        <f>SUM(AY47:AY51)</f>
        <v>2.3040000000000003</v>
      </c>
      <c r="AZ59" s="84">
        <v>4.766</v>
      </c>
      <c r="BA59" s="84">
        <v>4.7159999999999993</v>
      </c>
      <c r="BB59" s="84">
        <v>4.032</v>
      </c>
    </row>
    <row r="60" spans="1:54">
      <c r="A60" s="77" t="s">
        <v>260</v>
      </c>
      <c r="B60" s="84"/>
      <c r="C60" s="84">
        <f>(C39/0.808)/SQRT((C38/0.31)*(C40/0.122))</f>
        <v>0.90626860454271574</v>
      </c>
      <c r="D60" s="84">
        <f>(D39/0.808)/SQRT((D38/0.31)*(D40/0.122))</f>
        <v>0.7841420369072496</v>
      </c>
      <c r="E60" s="84">
        <f t="shared" ref="E60:BB60" si="9">(E39/0.808)/SQRT((E38/0.31)*(E40/0.122))</f>
        <v>0.85206443014961242</v>
      </c>
      <c r="F60" s="84">
        <f t="shared" si="9"/>
        <v>0.81266218333044593</v>
      </c>
      <c r="G60" s="84"/>
      <c r="H60" s="84">
        <f t="shared" si="9"/>
        <v>0.93064149172610833</v>
      </c>
      <c r="I60" s="84">
        <f t="shared" si="9"/>
        <v>1.0450699328756987</v>
      </c>
      <c r="J60" s="84">
        <f t="shared" si="9"/>
        <v>0.92143587600135346</v>
      </c>
      <c r="K60" s="84">
        <f t="shared" si="9"/>
        <v>1.0389731775969731</v>
      </c>
      <c r="L60" s="84">
        <f t="shared" si="9"/>
        <v>0.91437668940060091</v>
      </c>
      <c r="M60" s="84">
        <f t="shared" si="9"/>
        <v>1.0011670564967323</v>
      </c>
      <c r="N60" s="84">
        <f t="shared" si="9"/>
        <v>0.96769047201899161</v>
      </c>
      <c r="O60" s="84">
        <f t="shared" si="9"/>
        <v>0.8639735029933403</v>
      </c>
      <c r="P60" s="84">
        <f t="shared" si="9"/>
        <v>1.0084703179288312</v>
      </c>
      <c r="Q60" s="84">
        <f t="shared" si="9"/>
        <v>1.066425173435515</v>
      </c>
      <c r="R60" s="84">
        <f t="shared" si="9"/>
        <v>1.0254089704162201</v>
      </c>
      <c r="S60" s="84">
        <f t="shared" si="9"/>
        <v>0.914478374065396</v>
      </c>
      <c r="T60" s="84">
        <f t="shared" si="9"/>
        <v>0.9616566875360063</v>
      </c>
      <c r="U60" s="84">
        <f t="shared" si="9"/>
        <v>0.81473757678348191</v>
      </c>
      <c r="V60" s="84">
        <f t="shared" si="9"/>
        <v>0.8375061217874461</v>
      </c>
      <c r="W60" s="84">
        <f t="shared" si="9"/>
        <v>0.97325451188693546</v>
      </c>
      <c r="X60" s="84">
        <f t="shared" si="9"/>
        <v>0.94337697755740246</v>
      </c>
      <c r="Y60" s="84">
        <f t="shared" si="9"/>
        <v>0.94271837022242522</v>
      </c>
      <c r="Z60" s="84">
        <f t="shared" si="9"/>
        <v>1.0040076584415976</v>
      </c>
      <c r="AA60" s="84">
        <f t="shared" si="9"/>
        <v>1.0120299101033681</v>
      </c>
      <c r="AB60" s="84">
        <f t="shared" si="9"/>
        <v>0.90829668482411741</v>
      </c>
      <c r="AC60" s="84">
        <f t="shared" si="9"/>
        <v>0.91190907906498375</v>
      </c>
      <c r="AD60" s="84">
        <f t="shared" si="9"/>
        <v>0.92405462920128378</v>
      </c>
      <c r="AE60" s="84">
        <f t="shared" si="9"/>
        <v>0.94118873040458229</v>
      </c>
      <c r="AF60" s="84">
        <f t="shared" si="9"/>
        <v>0.99836728073006942</v>
      </c>
      <c r="AG60" s="84">
        <f t="shared" si="9"/>
        <v>1.0277122109419448</v>
      </c>
      <c r="AH60" s="84">
        <f t="shared" si="9"/>
        <v>1.0627218163387533</v>
      </c>
      <c r="AI60" s="84">
        <f t="shared" si="9"/>
        <v>1.0031535290726428</v>
      </c>
      <c r="AJ60" s="84">
        <f t="shared" si="9"/>
        <v>0.99754037723488598</v>
      </c>
      <c r="AK60" s="84">
        <f t="shared" si="9"/>
        <v>0.99278077689252997</v>
      </c>
      <c r="AL60" s="84">
        <f t="shared" si="9"/>
        <v>0.95201155384921343</v>
      </c>
      <c r="AM60" s="84">
        <f t="shared" si="9"/>
        <v>0.9973366162619548</v>
      </c>
      <c r="AN60" s="84">
        <f t="shared" si="9"/>
        <v>1.0817456975614765</v>
      </c>
      <c r="AO60" s="84">
        <f t="shared" si="9"/>
        <v>0.96007099425526099</v>
      </c>
      <c r="AP60" s="84">
        <f t="shared" si="9"/>
        <v>0.98335202103651131</v>
      </c>
      <c r="AQ60" s="84">
        <f t="shared" si="9"/>
        <v>0.95052134727469129</v>
      </c>
      <c r="AR60" s="84">
        <f t="shared" si="9"/>
        <v>0.77672127750407083</v>
      </c>
      <c r="AS60" s="84">
        <f t="shared" si="9"/>
        <v>0.84230229820138114</v>
      </c>
      <c r="AT60" s="84">
        <f t="shared" si="9"/>
        <v>0.97335568810624373</v>
      </c>
      <c r="AU60" s="84"/>
      <c r="AV60" s="84">
        <f t="shared" si="9"/>
        <v>1.0671232644777191</v>
      </c>
      <c r="AW60" s="84">
        <f>(AW39/0.808)/SQRT((AW38/0.31)*(AW40/0.122))</f>
        <v>1.0119910053987373</v>
      </c>
      <c r="AX60" s="84">
        <f t="shared" si="9"/>
        <v>0.96415602362751529</v>
      </c>
      <c r="AY60" s="84">
        <f t="shared" si="9"/>
        <v>0.90352433805213528</v>
      </c>
      <c r="AZ60" s="84">
        <f t="shared" si="9"/>
        <v>0.90646665015100281</v>
      </c>
      <c r="BA60" s="84">
        <f t="shared" si="9"/>
        <v>1.0101967013275879</v>
      </c>
      <c r="BB60" s="84">
        <f t="shared" si="9"/>
        <v>0.95488692455087554</v>
      </c>
    </row>
    <row r="61" spans="1:54">
      <c r="A61" s="80" t="s">
        <v>75</v>
      </c>
      <c r="B61" s="84"/>
      <c r="C61" s="84">
        <v>1.46406439770373</v>
      </c>
      <c r="D61" s="84">
        <v>0.86723414497889706</v>
      </c>
      <c r="E61" s="84">
        <v>1.0768411941806351</v>
      </c>
      <c r="F61" s="84">
        <v>1.0880175062055744</v>
      </c>
      <c r="G61" s="84"/>
      <c r="H61" s="84">
        <v>1.2320855995770745</v>
      </c>
      <c r="I61" s="84">
        <v>1.0107507024143803</v>
      </c>
      <c r="J61" s="84">
        <v>0.90750680959534802</v>
      </c>
      <c r="K61" s="84">
        <v>0.92246543004166537</v>
      </c>
      <c r="L61" s="84">
        <v>1.0275750862400603</v>
      </c>
      <c r="M61" s="84">
        <v>0.97630277218275363</v>
      </c>
      <c r="N61" s="84">
        <v>0.98213737899491904</v>
      </c>
      <c r="O61" s="84">
        <v>1.1137598869596734</v>
      </c>
      <c r="P61" s="84">
        <v>0.96247884007394013</v>
      </c>
      <c r="Q61" s="84">
        <v>0.9017302297863915</v>
      </c>
      <c r="R61" s="84">
        <v>0.95729086689384146</v>
      </c>
      <c r="S61" s="84">
        <v>0.72761223600365665</v>
      </c>
      <c r="T61" s="84">
        <v>0.80527863178317882</v>
      </c>
      <c r="U61" s="84">
        <v>0.89807584460444212</v>
      </c>
      <c r="V61" s="84">
        <v>0.96707661764951969</v>
      </c>
      <c r="W61" s="84">
        <v>0.96826149899156344</v>
      </c>
      <c r="X61" s="84">
        <v>0.91274845458731635</v>
      </c>
      <c r="Y61" s="84">
        <v>0.9010095464712945</v>
      </c>
      <c r="Z61" s="84">
        <v>1.0222620723482247</v>
      </c>
      <c r="AA61" s="84">
        <v>0.92470507980822714</v>
      </c>
      <c r="AB61" s="84">
        <v>0.74034316188821436</v>
      </c>
      <c r="AC61" s="84">
        <v>0.92554984824792774</v>
      </c>
      <c r="AD61" s="84">
        <v>0.87447238784961667</v>
      </c>
      <c r="AE61" s="84">
        <v>0.87005913431530235</v>
      </c>
      <c r="AF61" s="84">
        <v>1.0525527130881704</v>
      </c>
      <c r="AG61" s="84">
        <v>0.83046275580797635</v>
      </c>
      <c r="AH61" s="84">
        <v>1.0365068623497087</v>
      </c>
      <c r="AI61" s="84">
        <v>0.97517167426303841</v>
      </c>
      <c r="AJ61" s="84">
        <v>0.93963934172484065</v>
      </c>
      <c r="AK61" s="84">
        <v>0.91918605190475755</v>
      </c>
      <c r="AL61" s="84">
        <v>0.83553168866357974</v>
      </c>
      <c r="AM61" s="84">
        <v>0.98898035052996347</v>
      </c>
      <c r="AN61" s="84">
        <v>0.7637268486497566</v>
      </c>
      <c r="AO61" s="84">
        <v>1.0948086214068271</v>
      </c>
      <c r="AP61" s="84">
        <v>0.96730315109909493</v>
      </c>
      <c r="AQ61" s="84">
        <v>1.11869240198463</v>
      </c>
      <c r="AR61" s="84">
        <v>1.0151994617169642</v>
      </c>
      <c r="AS61" s="84">
        <v>0.82339963055614385</v>
      </c>
      <c r="AT61" s="84">
        <v>1.0193570767782949</v>
      </c>
      <c r="AU61" s="84"/>
      <c r="AV61" s="84">
        <v>0.89665437653366586</v>
      </c>
      <c r="AW61" s="84">
        <f>(AW43/0.058)/SQRT((AW42/0.153)*(AW44/0.2055))</f>
        <v>0.84184182340317348</v>
      </c>
      <c r="AX61" s="84">
        <v>0.96</v>
      </c>
      <c r="AY61" s="84">
        <f>(AY43/0.058)/SQRT((AY42/0.153)*(AY44/0.2055))</f>
        <v>0.89865988763088189</v>
      </c>
      <c r="AZ61" s="84">
        <f t="shared" ref="AZ61:BB61" si="10">(AZ43/0.058)/SQRT((AZ42/0.153)*(AZ44/0.2055))</f>
        <v>0.89740469831896952</v>
      </c>
      <c r="BA61" s="84">
        <f t="shared" si="10"/>
        <v>1.0283813417854155</v>
      </c>
      <c r="BB61" s="84">
        <f t="shared" si="10"/>
        <v>1.0042524597575233</v>
      </c>
    </row>
    <row r="62" spans="1:54" ht="17">
      <c r="A62" s="55" t="s">
        <v>385</v>
      </c>
      <c r="B62" s="86"/>
      <c r="C62" s="86">
        <f>C8/C16</f>
        <v>64.11452679873716</v>
      </c>
      <c r="D62" s="86">
        <f>D8/D16</f>
        <v>70.642570281124492</v>
      </c>
      <c r="E62" s="86">
        <f>E8/E16</f>
        <v>30.872340425531917</v>
      </c>
      <c r="F62" s="86">
        <f>F8/F16</f>
        <v>33.893617021276597</v>
      </c>
      <c r="G62" s="86"/>
      <c r="H62" s="86">
        <f t="shared" ref="H62:AT62" si="11">H8/H16</f>
        <v>19.427458811542337</v>
      </c>
      <c r="I62" s="86">
        <f t="shared" si="11"/>
        <v>13.246707738810283</v>
      </c>
      <c r="J62" s="86">
        <f t="shared" si="11"/>
        <v>8.4725864798474344</v>
      </c>
      <c r="K62" s="86">
        <f t="shared" si="11"/>
        <v>9.5984949093646765</v>
      </c>
      <c r="L62" s="86">
        <f t="shared" si="11"/>
        <v>11.326188527765224</v>
      </c>
      <c r="M62" s="86">
        <f t="shared" si="11"/>
        <v>14.634727619498682</v>
      </c>
      <c r="N62" s="86">
        <f t="shared" si="11"/>
        <v>9.5340721478635526</v>
      </c>
      <c r="O62" s="86">
        <f t="shared" si="11"/>
        <v>16.12497061678409</v>
      </c>
      <c r="P62" s="86">
        <f t="shared" si="11"/>
        <v>14.630755415886233</v>
      </c>
      <c r="Q62" s="86">
        <f t="shared" si="11"/>
        <v>21.559216339216334</v>
      </c>
      <c r="R62" s="86">
        <f t="shared" si="11"/>
        <v>10.900071560770384</v>
      </c>
      <c r="S62" s="86">
        <f t="shared" si="11"/>
        <v>8.6892583120204598</v>
      </c>
      <c r="T62" s="86">
        <f t="shared" si="11"/>
        <v>11.323529411764707</v>
      </c>
      <c r="U62" s="86">
        <f t="shared" si="11"/>
        <v>17.520759193357058</v>
      </c>
      <c r="V62" s="86">
        <f t="shared" si="11"/>
        <v>17.887465881662905</v>
      </c>
      <c r="W62" s="86">
        <f t="shared" si="11"/>
        <v>22.709416776847362</v>
      </c>
      <c r="X62" s="86">
        <f t="shared" si="11"/>
        <v>23.074393939393939</v>
      </c>
      <c r="Y62" s="86">
        <f t="shared" si="11"/>
        <v>12.096471471471471</v>
      </c>
      <c r="Z62" s="86">
        <f t="shared" si="11"/>
        <v>12.335798140165062</v>
      </c>
      <c r="AA62" s="86">
        <f t="shared" si="11"/>
        <v>16.699546130862949</v>
      </c>
      <c r="AB62" s="86">
        <f t="shared" si="11"/>
        <v>10.151860288534548</v>
      </c>
      <c r="AC62" s="86">
        <f t="shared" si="11"/>
        <v>10.464169381107492</v>
      </c>
      <c r="AD62" s="86">
        <f t="shared" si="11"/>
        <v>16.328125</v>
      </c>
      <c r="AE62" s="86">
        <f t="shared" si="11"/>
        <v>9.1631205673758878</v>
      </c>
      <c r="AF62" s="86">
        <f t="shared" si="11"/>
        <v>9.3452266345767807</v>
      </c>
      <c r="AG62" s="86">
        <f t="shared" si="11"/>
        <v>7.6105139490765472</v>
      </c>
      <c r="AH62" s="86">
        <f t="shared" si="11"/>
        <v>23.075445816186555</v>
      </c>
      <c r="AI62" s="86">
        <f t="shared" si="11"/>
        <v>8.8439050921204689</v>
      </c>
      <c r="AJ62" s="86">
        <f t="shared" si="11"/>
        <v>8.3615143569738439</v>
      </c>
      <c r="AK62" s="86">
        <f t="shared" si="11"/>
        <v>8.0349585447345628</v>
      </c>
      <c r="AL62" s="86">
        <f t="shared" si="11"/>
        <v>10.016720210280374</v>
      </c>
      <c r="AM62" s="86">
        <f t="shared" si="11"/>
        <v>16.457334027467038</v>
      </c>
      <c r="AN62" s="86">
        <f t="shared" si="11"/>
        <v>20.574673718104517</v>
      </c>
      <c r="AO62" s="86">
        <f t="shared" si="11"/>
        <v>9.4295357562365041</v>
      </c>
      <c r="AP62" s="86">
        <f t="shared" si="11"/>
        <v>22.771280527136227</v>
      </c>
      <c r="AQ62" s="86">
        <f t="shared" si="11"/>
        <v>15.47930467630977</v>
      </c>
      <c r="AR62" s="86">
        <f t="shared" si="11"/>
        <v>16.661157108924304</v>
      </c>
      <c r="AS62" s="86">
        <f t="shared" si="11"/>
        <v>10.91060985797828</v>
      </c>
      <c r="AT62" s="86">
        <f t="shared" si="11"/>
        <v>15.07115748291055</v>
      </c>
      <c r="AU62" s="86"/>
      <c r="AV62" s="86">
        <f t="shared" ref="AV62:BB62" si="12">AV8/AV16</f>
        <v>25.44427285166493</v>
      </c>
      <c r="AW62" s="87">
        <f>AW8/AW16</f>
        <v>18.489079935252835</v>
      </c>
      <c r="AX62" s="86">
        <f t="shared" si="12"/>
        <v>17.086492815712589</v>
      </c>
      <c r="AY62" s="87">
        <f t="shared" si="12"/>
        <v>31.22</v>
      </c>
      <c r="AZ62" s="86">
        <f t="shared" si="12"/>
        <v>18.328377987578836</v>
      </c>
      <c r="BA62" s="86">
        <f t="shared" si="12"/>
        <v>19.325157753488451</v>
      </c>
      <c r="BB62" s="86">
        <f t="shared" si="12"/>
        <v>20.344973773778907</v>
      </c>
    </row>
    <row r="63" spans="1:54" s="2" customFormat="1" ht="17">
      <c r="A63" s="55" t="s">
        <v>409</v>
      </c>
      <c r="B63" s="86"/>
      <c r="C63" s="5">
        <f>C10/C15</f>
        <v>46.927160045476633</v>
      </c>
      <c r="D63" s="5">
        <f t="shared" ref="D63:BB63" si="13">D10/D15</f>
        <v>48.603370078740163</v>
      </c>
      <c r="E63" s="5">
        <f t="shared" si="13"/>
        <v>63.470507692307685</v>
      </c>
      <c r="F63" s="5">
        <f t="shared" si="13"/>
        <v>59.109938461538455</v>
      </c>
      <c r="G63" s="5"/>
      <c r="H63" s="5">
        <f t="shared" si="13"/>
        <v>59.23297533485178</v>
      </c>
      <c r="I63" s="5">
        <f t="shared" si="13"/>
        <v>64.962867904980286</v>
      </c>
      <c r="J63" s="5">
        <f t="shared" si="13"/>
        <v>72.788176383791424</v>
      </c>
      <c r="K63" s="5">
        <f t="shared" si="13"/>
        <v>57.536163372538816</v>
      </c>
      <c r="L63" s="5">
        <f t="shared" si="13"/>
        <v>39.493932468411266</v>
      </c>
      <c r="M63" s="5">
        <f t="shared" si="13"/>
        <v>59.692333074135647</v>
      </c>
      <c r="N63" s="5">
        <f t="shared" si="13"/>
        <v>47.930097738459068</v>
      </c>
      <c r="O63" s="5">
        <f t="shared" si="13"/>
        <v>42.356646514001504</v>
      </c>
      <c r="P63" s="5">
        <f t="shared" si="13"/>
        <v>59.359829615433533</v>
      </c>
      <c r="Q63" s="5">
        <f t="shared" si="13"/>
        <v>59.987045219974135</v>
      </c>
      <c r="R63" s="5">
        <f t="shared" si="13"/>
        <v>58.755577968706291</v>
      </c>
      <c r="S63" s="5">
        <f t="shared" si="13"/>
        <v>50.359774193548397</v>
      </c>
      <c r="T63" s="5">
        <f t="shared" si="13"/>
        <v>57.772205607476643</v>
      </c>
      <c r="U63" s="5">
        <f t="shared" si="13"/>
        <v>62.722900584795319</v>
      </c>
      <c r="V63" s="5">
        <f t="shared" si="13"/>
        <v>60.706704091139478</v>
      </c>
      <c r="W63" s="5">
        <f t="shared" si="13"/>
        <v>51.654067712276905</v>
      </c>
      <c r="X63" s="5">
        <f t="shared" si="13"/>
        <v>56.094061294117637</v>
      </c>
      <c r="Y63" s="5">
        <f t="shared" si="13"/>
        <v>57.267981384892089</v>
      </c>
      <c r="Z63" s="5">
        <f t="shared" si="13"/>
        <v>52.86334922328026</v>
      </c>
      <c r="AA63" s="5">
        <f t="shared" si="13"/>
        <v>63.91425626204105</v>
      </c>
      <c r="AB63" s="5">
        <f t="shared" si="13"/>
        <v>55.749310638297878</v>
      </c>
      <c r="AC63" s="5">
        <f t="shared" si="13"/>
        <v>57.690880658436214</v>
      </c>
      <c r="AD63" s="5">
        <f t="shared" si="13"/>
        <v>65.874246913580251</v>
      </c>
      <c r="AE63" s="5">
        <f t="shared" si="13"/>
        <v>65.70237735849058</v>
      </c>
      <c r="AF63" s="5">
        <f t="shared" si="13"/>
        <v>71.251254644417713</v>
      </c>
      <c r="AG63" s="5">
        <f t="shared" si="13"/>
        <v>80.495415940043316</v>
      </c>
      <c r="AH63" s="5">
        <f t="shared" si="13"/>
        <v>65.712666666666664</v>
      </c>
      <c r="AI63" s="5">
        <f t="shared" si="13"/>
        <v>65.682695577501079</v>
      </c>
      <c r="AJ63" s="5">
        <f t="shared" si="13"/>
        <v>62.465120631067968</v>
      </c>
      <c r="AK63" s="5">
        <f t="shared" si="13"/>
        <v>53.67935716878403</v>
      </c>
      <c r="AL63" s="5">
        <f t="shared" si="13"/>
        <v>52.821526126844844</v>
      </c>
      <c r="AM63" s="5">
        <f t="shared" si="13"/>
        <v>56.427497124584995</v>
      </c>
      <c r="AN63" s="5">
        <f t="shared" si="13"/>
        <v>55.069162685710495</v>
      </c>
      <c r="AO63" s="5">
        <f t="shared" si="13"/>
        <v>47.491451844564402</v>
      </c>
      <c r="AP63" s="5">
        <f t="shared" si="13"/>
        <v>57.582111770120136</v>
      </c>
      <c r="AQ63" s="5">
        <f t="shared" si="13"/>
        <v>65.500502144479469</v>
      </c>
      <c r="AR63" s="5">
        <f t="shared" si="13"/>
        <v>44.225721909440352</v>
      </c>
      <c r="AS63" s="5">
        <f t="shared" si="13"/>
        <v>70.115562841530064</v>
      </c>
      <c r="AT63" s="5">
        <f t="shared" si="13"/>
        <v>61.270146367825014</v>
      </c>
      <c r="AU63" s="5"/>
      <c r="AV63" s="5">
        <f t="shared" si="13"/>
        <v>56.998470862158051</v>
      </c>
      <c r="AW63" s="5">
        <f t="shared" si="13"/>
        <v>50.169401579466879</v>
      </c>
      <c r="AX63" s="5">
        <f t="shared" si="13"/>
        <v>62.492596306684995</v>
      </c>
      <c r="AY63" s="5">
        <f t="shared" si="13"/>
        <v>61.829114285714283</v>
      </c>
      <c r="AZ63" s="5">
        <f t="shared" si="13"/>
        <v>62.630458827129345</v>
      </c>
      <c r="BA63" s="5">
        <f t="shared" si="13"/>
        <v>67.409608975721113</v>
      </c>
      <c r="BB63" s="5">
        <f t="shared" si="13"/>
        <v>63.955729603245942</v>
      </c>
    </row>
    <row r="64" spans="1:54" ht="17">
      <c r="A64" s="55" t="s">
        <v>386</v>
      </c>
      <c r="B64" s="86"/>
      <c r="C64" s="86">
        <f>(C38/0.237)/(C42/0.153)</f>
        <v>0.94491195813591677</v>
      </c>
      <c r="D64" s="86">
        <f t="shared" ref="D64:BB64" si="14">(D38/0.237)/(D42/0.153)</f>
        <v>1.4662532670527342</v>
      </c>
      <c r="E64" s="86">
        <f t="shared" si="14"/>
        <v>1.7421536327379923</v>
      </c>
      <c r="F64" s="86">
        <f t="shared" si="14"/>
        <v>1.6139240506329113</v>
      </c>
      <c r="G64" s="86"/>
      <c r="H64" s="86">
        <f t="shared" si="14"/>
        <v>0.82189901991599279</v>
      </c>
      <c r="I64" s="86">
        <f t="shared" si="14"/>
        <v>1.7538843021258022</v>
      </c>
      <c r="J64" s="86">
        <f t="shared" si="14"/>
        <v>1.2627051628502348</v>
      </c>
      <c r="K64" s="86">
        <f t="shared" si="14"/>
        <v>1.0956915573104169</v>
      </c>
      <c r="L64" s="86">
        <f t="shared" si="14"/>
        <v>1.9356922156882288</v>
      </c>
      <c r="M64" s="86">
        <f t="shared" si="14"/>
        <v>1.8935830982642541</v>
      </c>
      <c r="N64" s="86">
        <f t="shared" si="14"/>
        <v>1.2322982594936709</v>
      </c>
      <c r="O64" s="86">
        <f t="shared" si="14"/>
        <v>0.90687160940325495</v>
      </c>
      <c r="P64" s="86">
        <f t="shared" si="14"/>
        <v>0.85810534912209069</v>
      </c>
      <c r="Q64" s="86">
        <f t="shared" si="14"/>
        <v>2.0036807959110945</v>
      </c>
      <c r="R64" s="86">
        <f t="shared" si="14"/>
        <v>1.0149370779053033</v>
      </c>
      <c r="S64" s="86">
        <f t="shared" si="14"/>
        <v>1.34370127639333</v>
      </c>
      <c r="T64" s="86">
        <f t="shared" si="14"/>
        <v>1.3260825933795186</v>
      </c>
      <c r="U64" s="86">
        <f t="shared" si="14"/>
        <v>0.89544615704520059</v>
      </c>
      <c r="V64" s="86">
        <f t="shared" si="14"/>
        <v>1.7497518987341774</v>
      </c>
      <c r="W64" s="86">
        <f t="shared" si="14"/>
        <v>1.2664368992097452</v>
      </c>
      <c r="X64" s="86">
        <f t="shared" si="14"/>
        <v>1.2451240081542787</v>
      </c>
      <c r="Y64" s="86">
        <f t="shared" si="14"/>
        <v>1.1212292149827408</v>
      </c>
      <c r="Z64" s="86">
        <f t="shared" si="14"/>
        <v>1.1515894165794232</v>
      </c>
      <c r="AA64" s="86">
        <f t="shared" si="14"/>
        <v>1.7130385982415666</v>
      </c>
      <c r="AB64" s="86">
        <f t="shared" si="14"/>
        <v>1.3296986951924725</v>
      </c>
      <c r="AC64" s="86">
        <f t="shared" si="14"/>
        <v>0.96493419398105473</v>
      </c>
      <c r="AD64" s="86">
        <f t="shared" si="14"/>
        <v>1.706073058417825</v>
      </c>
      <c r="AE64" s="86">
        <f t="shared" si="14"/>
        <v>1.3814934455170345</v>
      </c>
      <c r="AF64" s="86">
        <f t="shared" si="14"/>
        <v>1.1633100321178915</v>
      </c>
      <c r="AG64" s="86">
        <f t="shared" si="14"/>
        <v>1.0980611380781855</v>
      </c>
      <c r="AH64" s="86">
        <f t="shared" si="14"/>
        <v>1.8795447564544028</v>
      </c>
      <c r="AI64" s="86">
        <f t="shared" si="14"/>
        <v>1.2335649449426516</v>
      </c>
      <c r="AJ64" s="86">
        <f t="shared" si="14"/>
        <v>1.2643891563588607</v>
      </c>
      <c r="AK64" s="86">
        <f t="shared" si="14"/>
        <v>1.2467021762087265</v>
      </c>
      <c r="AL64" s="86">
        <f t="shared" si="14"/>
        <v>1.2984415505530573</v>
      </c>
      <c r="AM64" s="86">
        <f t="shared" si="14"/>
        <v>0.98200959336439975</v>
      </c>
      <c r="AN64" s="86">
        <f t="shared" si="14"/>
        <v>1.417622316574739</v>
      </c>
      <c r="AO64" s="86">
        <f t="shared" si="14"/>
        <v>1.4955107081424728</v>
      </c>
      <c r="AP64" s="86">
        <f t="shared" si="14"/>
        <v>1.2758947833545604</v>
      </c>
      <c r="AQ64" s="86">
        <f t="shared" si="14"/>
        <v>2.3257551071562852</v>
      </c>
      <c r="AR64" s="86">
        <f t="shared" si="14"/>
        <v>1.1965397846077752</v>
      </c>
      <c r="AS64" s="86">
        <f t="shared" si="14"/>
        <v>0.96107710011507486</v>
      </c>
      <c r="AT64" s="86">
        <f t="shared" si="14"/>
        <v>0.94161985587057051</v>
      </c>
      <c r="AU64" s="86"/>
      <c r="AV64" s="86">
        <f t="shared" si="14"/>
        <v>2.3258553703471612</v>
      </c>
      <c r="AW64" s="87">
        <f>(AW38/0.237)/(AW42/0.153)</f>
        <v>2.4070913245775336</v>
      </c>
      <c r="AX64" s="86">
        <f t="shared" si="14"/>
        <v>2.1744710985217317</v>
      </c>
      <c r="AY64" s="87">
        <f t="shared" si="14"/>
        <v>2.4137756873638687</v>
      </c>
      <c r="AZ64" s="86">
        <f t="shared" si="14"/>
        <v>2.6329920180601474</v>
      </c>
      <c r="BA64" s="86">
        <f t="shared" si="14"/>
        <v>2.3821757204913818</v>
      </c>
      <c r="BB64" s="86">
        <f t="shared" si="14"/>
        <v>1.821334208299515</v>
      </c>
    </row>
    <row r="65" spans="1:54" ht="17">
      <c r="A65" s="77" t="s">
        <v>387</v>
      </c>
      <c r="B65" s="84"/>
      <c r="C65" s="84">
        <v>1.1529600579845201</v>
      </c>
      <c r="D65" s="84">
        <v>2.2907309105757454</v>
      </c>
      <c r="E65" s="84">
        <v>3.1754610534300478</v>
      </c>
      <c r="F65" s="84">
        <v>2.869198312236287</v>
      </c>
      <c r="G65" s="84"/>
      <c r="H65" s="84">
        <v>0.78784218505417025</v>
      </c>
      <c r="I65" s="84">
        <v>2.0384960380297334</v>
      </c>
      <c r="J65" s="84">
        <v>1.5943247005684784</v>
      </c>
      <c r="K65" s="84">
        <v>1.7105210426578272</v>
      </c>
      <c r="L65" s="84">
        <v>3.1884943111855395</v>
      </c>
      <c r="M65" s="84">
        <v>3.3033684331431385</v>
      </c>
      <c r="N65" s="84">
        <v>1.323717499288267</v>
      </c>
      <c r="O65" s="84">
        <v>0.98040173989541091</v>
      </c>
      <c r="P65" s="84">
        <v>0.95435584887061686</v>
      </c>
      <c r="Q65" s="84">
        <v>6.8806042958515015</v>
      </c>
      <c r="R65" s="84">
        <v>1.100437546140411</v>
      </c>
      <c r="S65" s="84">
        <v>1.7232474200599868</v>
      </c>
      <c r="T65" s="84">
        <v>1.6655713935524921</v>
      </c>
      <c r="U65" s="84">
        <v>0.90907291740882346</v>
      </c>
      <c r="V65" s="84">
        <v>2.0387675926712543</v>
      </c>
      <c r="W65" s="84">
        <v>1.7234487371154898</v>
      </c>
      <c r="X65" s="84">
        <v>1.7396471286572581</v>
      </c>
      <c r="Y65" s="84">
        <v>1.8451535902794522</v>
      </c>
      <c r="Z65" s="84">
        <v>1.3459561039605716</v>
      </c>
      <c r="AA65" s="84">
        <v>2.0479790073206008</v>
      </c>
      <c r="AB65" s="84">
        <v>1.6542112526398867</v>
      </c>
      <c r="AC65" s="84">
        <v>1.5611814345991564</v>
      </c>
      <c r="AD65" s="84">
        <v>2.5510983895844048</v>
      </c>
      <c r="AE65" s="84">
        <v>2.7107032962983437</v>
      </c>
      <c r="AF65" s="84">
        <v>2.1225972808251292</v>
      </c>
      <c r="AG65" s="84">
        <v>2.2648501287741798</v>
      </c>
      <c r="AH65" s="84">
        <v>4.3450946096952983</v>
      </c>
      <c r="AI65" s="84">
        <v>2.5812777652366097</v>
      </c>
      <c r="AJ65" s="84">
        <v>2.6331643069285078</v>
      </c>
      <c r="AK65" s="84">
        <v>2.4080535508549619</v>
      </c>
      <c r="AL65" s="84">
        <v>1.7181770969878831</v>
      </c>
      <c r="AM65" s="84">
        <v>0.88743505631027164</v>
      </c>
      <c r="AN65" s="84">
        <v>3.4494395040987174</v>
      </c>
      <c r="AO65" s="84">
        <v>1.7323882907560559</v>
      </c>
      <c r="AP65" s="84">
        <v>1.2383871639136441</v>
      </c>
      <c r="AQ65" s="84">
        <v>4.30222098576529</v>
      </c>
      <c r="AR65" s="84">
        <v>1.2300774193995749</v>
      </c>
      <c r="AS65" s="84">
        <v>0.98280604838481933</v>
      </c>
      <c r="AT65" s="84">
        <v>0.9539286121564603</v>
      </c>
      <c r="AU65" s="84"/>
      <c r="AV65" s="84">
        <v>3.7318883009868946</v>
      </c>
      <c r="AW65" s="84">
        <v>7.12</v>
      </c>
      <c r="AX65" s="84">
        <v>3.92</v>
      </c>
      <c r="AY65" s="84">
        <v>7.2</v>
      </c>
      <c r="AZ65" s="84">
        <v>6.1860044419819387</v>
      </c>
      <c r="BA65" s="84">
        <v>4.0207375451741685</v>
      </c>
      <c r="BB65" s="84">
        <v>3.8882713694001585</v>
      </c>
    </row>
    <row r="66" spans="1:54" ht="17">
      <c r="A66" s="77" t="s">
        <v>388</v>
      </c>
      <c r="B66" s="84"/>
      <c r="C66" s="84">
        <v>0.56929785026255897</v>
      </c>
      <c r="D66" s="84">
        <v>0.69729815952784302</v>
      </c>
      <c r="E66" s="84">
        <v>0.78645043563185901</v>
      </c>
      <c r="F66" s="84">
        <v>0.84427767354596595</v>
      </c>
      <c r="G66" s="84"/>
      <c r="H66" s="84">
        <v>0.97520741659925703</v>
      </c>
      <c r="I66" s="84">
        <v>0.80556354691601495</v>
      </c>
      <c r="J66" s="84">
        <v>0.82181419567004699</v>
      </c>
      <c r="K66" s="84">
        <v>0.59739473820099398</v>
      </c>
      <c r="L66" s="84">
        <v>0.73082093631354195</v>
      </c>
      <c r="M66" s="84">
        <v>0.69604472963883901</v>
      </c>
      <c r="N66" s="84">
        <v>0.89106472795497205</v>
      </c>
      <c r="O66" s="84">
        <v>0.11207546384371053</v>
      </c>
      <c r="P66" s="84">
        <v>0.86878896084246204</v>
      </c>
      <c r="Q66" s="84">
        <v>0.71735926353894097</v>
      </c>
      <c r="R66" s="84">
        <v>0.753203988644506</v>
      </c>
      <c r="S66" s="84">
        <v>0.69576235669213904</v>
      </c>
      <c r="T66" s="84">
        <v>0.67172928952656596</v>
      </c>
      <c r="U66" s="84">
        <v>0.739739801441609</v>
      </c>
      <c r="V66" s="84">
        <v>0.85886679174484104</v>
      </c>
      <c r="W66" s="84">
        <v>0.88989755130514803</v>
      </c>
      <c r="X66" s="84">
        <v>0.33462683516241953</v>
      </c>
      <c r="Y66" s="84">
        <v>0.870991422521734</v>
      </c>
      <c r="Z66" s="84">
        <v>0.71831049246004297</v>
      </c>
      <c r="AA66" s="84">
        <v>0.79423100028650895</v>
      </c>
      <c r="AB66" s="84">
        <v>0.70792466243338603</v>
      </c>
      <c r="AC66" s="84">
        <v>0.64919920977100798</v>
      </c>
      <c r="AD66" s="84">
        <v>0.93187320378662397</v>
      </c>
      <c r="AE66" s="84">
        <v>0.62890753308354796</v>
      </c>
      <c r="AF66" s="84">
        <v>0.663367029766739</v>
      </c>
      <c r="AG66" s="84">
        <v>0.57486191221940497</v>
      </c>
      <c r="AH66" s="84">
        <v>0.51997297161300504</v>
      </c>
      <c r="AI66" s="84">
        <v>0.78923050685701202</v>
      </c>
      <c r="AJ66" s="84">
        <v>0.67119311751821997</v>
      </c>
      <c r="AK66" s="84">
        <v>0.73092268691387596</v>
      </c>
      <c r="AL66" s="84">
        <v>0.89773131274009899</v>
      </c>
      <c r="AM66" s="84">
        <v>0.879766213019051</v>
      </c>
      <c r="AN66" s="84">
        <v>0.632899480670717</v>
      </c>
      <c r="AO66" s="84">
        <v>0.76800271199863301</v>
      </c>
      <c r="AP66" s="84">
        <v>0.19911034806640715</v>
      </c>
      <c r="AQ66" s="84">
        <v>0.95305853287017295</v>
      </c>
      <c r="AR66" s="84">
        <v>0.85529977106028798</v>
      </c>
      <c r="AS66" s="84">
        <v>0.85281255330035799</v>
      </c>
      <c r="AT66" s="84">
        <v>0.92473063755518503</v>
      </c>
      <c r="AU66" s="84"/>
      <c r="AV66" s="85">
        <v>0.60771274125536401</v>
      </c>
      <c r="AW66" s="84">
        <v>0.68</v>
      </c>
      <c r="AX66" s="84">
        <v>1.32</v>
      </c>
      <c r="AY66" s="84">
        <v>1.34</v>
      </c>
      <c r="AZ66" s="84">
        <v>1.0368393064136401</v>
      </c>
      <c r="BA66" s="84">
        <v>1.2884963304526622</v>
      </c>
      <c r="BB66" s="84">
        <v>1.05736276168513</v>
      </c>
    </row>
    <row r="67" spans="1:54" ht="17">
      <c r="A67" s="77" t="s">
        <v>389</v>
      </c>
      <c r="B67" s="84"/>
      <c r="C67" s="84">
        <f>(C42/0.153)/(C50/0.17)</f>
        <v>1.2201772324471714</v>
      </c>
      <c r="D67" s="84">
        <f t="shared" ref="D67:BB67" si="15">(D42/0.153)/(D50/0.17)</f>
        <v>1.562302340290955</v>
      </c>
      <c r="E67" s="84">
        <f t="shared" si="15"/>
        <v>1.8227215980024969</v>
      </c>
      <c r="F67" s="84">
        <f t="shared" si="15"/>
        <v>1.7777777777777781</v>
      </c>
      <c r="G67" s="84"/>
      <c r="H67" s="84">
        <f t="shared" si="15"/>
        <v>0.95856323704424984</v>
      </c>
      <c r="I67" s="84">
        <f t="shared" si="15"/>
        <v>1.1622750916687987</v>
      </c>
      <c r="J67" s="84">
        <f t="shared" si="15"/>
        <v>1.262626262626263</v>
      </c>
      <c r="K67" s="84">
        <f t="shared" si="15"/>
        <v>1.5611337253128301</v>
      </c>
      <c r="L67" s="84">
        <f t="shared" si="15"/>
        <v>1.6472114137483791</v>
      </c>
      <c r="M67" s="84">
        <f t="shared" si="15"/>
        <v>1.7445067164842984</v>
      </c>
      <c r="N67" s="84">
        <f t="shared" si="15"/>
        <v>1.0741859684457873</v>
      </c>
      <c r="O67" s="84">
        <f t="shared" si="15"/>
        <v>1.0810810810810814</v>
      </c>
      <c r="P67" s="84">
        <f t="shared" si="15"/>
        <v>1.1121662973514828</v>
      </c>
      <c r="Q67" s="84">
        <f t="shared" si="15"/>
        <v>3.4339822540060925</v>
      </c>
      <c r="R67" s="84">
        <f t="shared" si="15"/>
        <v>1.0842421368737161</v>
      </c>
      <c r="S67" s="84">
        <f t="shared" si="15"/>
        <v>1.2824631860776439</v>
      </c>
      <c r="T67" s="84">
        <f t="shared" si="15"/>
        <v>1.2560087900013734</v>
      </c>
      <c r="U67" s="84">
        <f t="shared" si="15"/>
        <v>1.0152178444861371</v>
      </c>
      <c r="V67" s="84">
        <f t="shared" si="15"/>
        <v>1.1651752423564505</v>
      </c>
      <c r="W67" s="84">
        <f t="shared" si="15"/>
        <v>1.3608642785052452</v>
      </c>
      <c r="X67" s="84">
        <f t="shared" si="15"/>
        <v>1.3971677658324499</v>
      </c>
      <c r="Y67" s="84">
        <f t="shared" si="15"/>
        <v>1.645652437185072</v>
      </c>
      <c r="Z67" s="84">
        <f t="shared" si="15"/>
        <v>1.1687812379853901</v>
      </c>
      <c r="AA67" s="84">
        <f t="shared" si="15"/>
        <v>1.1955241460541817</v>
      </c>
      <c r="AB67" s="84">
        <f t="shared" si="15"/>
        <v>1.2440496923255544</v>
      </c>
      <c r="AC67" s="84">
        <f t="shared" si="15"/>
        <v>1.6179149255330552</v>
      </c>
      <c r="AD67" s="84">
        <f t="shared" si="15"/>
        <v>1.4953043054030981</v>
      </c>
      <c r="AE67" s="84">
        <f t="shared" si="15"/>
        <v>1.9621542940320231</v>
      </c>
      <c r="AF67" s="84">
        <f t="shared" si="15"/>
        <v>1.8246187363834423</v>
      </c>
      <c r="AG67" s="84">
        <f t="shared" si="15"/>
        <v>2.062590187590188</v>
      </c>
      <c r="AH67" s="84">
        <f t="shared" si="15"/>
        <v>2.3117803365810459</v>
      </c>
      <c r="AI67" s="84">
        <f t="shared" si="15"/>
        <v>2.0925349539311155</v>
      </c>
      <c r="AJ67" s="84">
        <f t="shared" si="15"/>
        <v>2.0825584383461444</v>
      </c>
      <c r="AK67" s="84">
        <f t="shared" si="15"/>
        <v>1.9315387402129622</v>
      </c>
      <c r="AL67" s="84">
        <f t="shared" si="15"/>
        <v>1.3232610249233354</v>
      </c>
      <c r="AM67" s="84">
        <f t="shared" si="15"/>
        <v>0.90369285830486412</v>
      </c>
      <c r="AN67" s="84">
        <f t="shared" si="15"/>
        <v>2.4332570556826854</v>
      </c>
      <c r="AO67" s="84">
        <f t="shared" si="15"/>
        <v>1.1583924349881798</v>
      </c>
      <c r="AP67" s="84">
        <f t="shared" si="15"/>
        <v>0.97060288988540111</v>
      </c>
      <c r="AQ67" s="84">
        <f t="shared" si="15"/>
        <v>1.8498168498168499</v>
      </c>
      <c r="AR67" s="84">
        <f t="shared" si="15"/>
        <v>1.02802885054323</v>
      </c>
      <c r="AS67" s="84">
        <f t="shared" si="15"/>
        <v>1.0226089543358621</v>
      </c>
      <c r="AT67" s="84">
        <f t="shared" si="15"/>
        <v>1.0130718954248368</v>
      </c>
      <c r="AU67" s="84"/>
      <c r="AV67" s="84">
        <f t="shared" si="15"/>
        <v>1.6045229417811422</v>
      </c>
      <c r="AW67" s="84">
        <f t="shared" si="15"/>
        <v>2.9580498866213158</v>
      </c>
      <c r="AX67" s="84">
        <f t="shared" si="15"/>
        <v>1.8021424070573406</v>
      </c>
      <c r="AY67" s="84">
        <f t="shared" si="15"/>
        <v>2.9836309523809526</v>
      </c>
      <c r="AZ67" s="84">
        <f t="shared" si="15"/>
        <v>2.3494201271979049</v>
      </c>
      <c r="BA67" s="84">
        <f t="shared" si="15"/>
        <v>1.6878425510712507</v>
      </c>
      <c r="BB67" s="84">
        <f t="shared" si="15"/>
        <v>2.1348478229212176</v>
      </c>
    </row>
    <row r="68" spans="1:54" ht="17">
      <c r="A68" s="77" t="s">
        <v>390</v>
      </c>
      <c r="B68" s="84"/>
      <c r="C68" s="84">
        <v>1.1399999999999999</v>
      </c>
      <c r="D68" s="84">
        <v>1.31</v>
      </c>
      <c r="E68" s="84">
        <v>1.55</v>
      </c>
      <c r="F68" s="84">
        <v>1.47</v>
      </c>
      <c r="G68" s="84"/>
      <c r="H68" s="84">
        <v>0.98271250447172109</v>
      </c>
      <c r="I68" s="84">
        <v>1.0824729755215834</v>
      </c>
      <c r="J68" s="84">
        <v>1.1546863699738301</v>
      </c>
      <c r="K68" s="84">
        <v>1.3441419313518672</v>
      </c>
      <c r="L68" s="84">
        <v>1.4117981197989153</v>
      </c>
      <c r="M68" s="84">
        <v>1.4558021112753949</v>
      </c>
      <c r="N68" s="84">
        <v>1.035937695253637</v>
      </c>
      <c r="O68" s="84">
        <v>1.0974645135229077</v>
      </c>
      <c r="P68" s="84">
        <v>1.0802180307452003</v>
      </c>
      <c r="Q68" s="84">
        <v>2.4324520269466898</v>
      </c>
      <c r="R68" s="84">
        <v>1.0890760141624529</v>
      </c>
      <c r="S68" s="84">
        <v>1.140609151936212</v>
      </c>
      <c r="T68" s="84">
        <v>1.1104995804498661</v>
      </c>
      <c r="U68" s="84">
        <v>0.99332155589944438</v>
      </c>
      <c r="V68" s="84">
        <v>1.0888894332043306</v>
      </c>
      <c r="W68" s="84">
        <v>1.286109398603531</v>
      </c>
      <c r="X68" s="84">
        <v>1.2657193856364424</v>
      </c>
      <c r="Y68" s="84">
        <v>1.5449061874622301</v>
      </c>
      <c r="Z68" s="84">
        <v>1.1359872416119732</v>
      </c>
      <c r="AA68" s="84">
        <v>1.1458736340735776</v>
      </c>
      <c r="AB68" s="84">
        <v>1.141035321755181</v>
      </c>
      <c r="AC68" s="84">
        <v>1.4758087032826774</v>
      </c>
      <c r="AD68" s="84">
        <v>1.3003544138817</v>
      </c>
      <c r="AE68" s="84">
        <v>1.6631710919155538</v>
      </c>
      <c r="AF68" s="84">
        <v>1.5450121654501219</v>
      </c>
      <c r="AG68" s="84">
        <v>1.7914810250576676</v>
      </c>
      <c r="AH68" s="84">
        <v>1.8025123971216697</v>
      </c>
      <c r="AI68" s="84">
        <v>1.830483451381778</v>
      </c>
      <c r="AJ68" s="84">
        <v>1.8016619030575496</v>
      </c>
      <c r="AK68" s="84">
        <v>1.5795728770353543</v>
      </c>
      <c r="AL68" s="84">
        <v>1.187382048924841</v>
      </c>
      <c r="AM68" s="84">
        <v>0.93201953596734033</v>
      </c>
      <c r="AN68" s="84">
        <v>1.9810475092841595</v>
      </c>
      <c r="AO68" s="84">
        <v>1.1286153861693922</v>
      </c>
      <c r="AP68" s="84">
        <v>0.92147556544793963</v>
      </c>
      <c r="AQ68" s="84">
        <v>1.5599582898852973</v>
      </c>
      <c r="AR68" s="84">
        <v>1.0311743407965419</v>
      </c>
      <c r="AS68" s="84">
        <v>0.9839520287150223</v>
      </c>
      <c r="AT68" s="84">
        <v>1.0120339317419609</v>
      </c>
      <c r="AU68" s="84"/>
      <c r="AV68" s="84">
        <v>1.3685466328612443</v>
      </c>
      <c r="AW68" s="84">
        <v>2.1449426485922838</v>
      </c>
      <c r="AX68" s="84">
        <v>1.51</v>
      </c>
      <c r="AY68" s="84">
        <v>2.2000000000000002</v>
      </c>
      <c r="AZ68" s="84">
        <v>1.9107539302186505</v>
      </c>
      <c r="BA68" s="84">
        <v>1.4523256194559917</v>
      </c>
      <c r="BB68" s="84">
        <v>1.6122171094380298</v>
      </c>
    </row>
    <row r="69" spans="1:54" ht="17">
      <c r="A69" s="55" t="s">
        <v>391</v>
      </c>
      <c r="B69" s="86"/>
      <c r="C69" s="86">
        <v>0.32546866802993479</v>
      </c>
      <c r="D69" s="86">
        <v>0.25018687827036973</v>
      </c>
      <c r="E69" s="86">
        <v>0.57469689095193699</v>
      </c>
      <c r="F69" s="86">
        <v>0.6234634106096858</v>
      </c>
      <c r="G69" s="86"/>
      <c r="H69" s="86">
        <v>0.80807048431858197</v>
      </c>
      <c r="I69" s="86">
        <v>0.44468815133781497</v>
      </c>
      <c r="J69" s="86">
        <v>0.58250434421664898</v>
      </c>
      <c r="K69" s="86">
        <v>0.66392040523582596</v>
      </c>
      <c r="L69" s="86">
        <v>0.38848382971702</v>
      </c>
      <c r="M69" s="86">
        <v>0.39717315228607603</v>
      </c>
      <c r="N69" s="86">
        <v>0.55025304757294402</v>
      </c>
      <c r="O69" s="86">
        <v>0.57104381106330404</v>
      </c>
      <c r="P69" s="86">
        <v>0.71388198972282901</v>
      </c>
      <c r="Q69" s="86">
        <v>0.29811140171593198</v>
      </c>
      <c r="R69" s="86">
        <v>0.76832596308961099</v>
      </c>
      <c r="S69" s="86">
        <v>0.73332986336287997</v>
      </c>
      <c r="T69" s="86">
        <v>0.50189958641018295</v>
      </c>
      <c r="U69" s="86">
        <v>0.59053031207468798</v>
      </c>
      <c r="V69" s="86">
        <v>0.59836962731263399</v>
      </c>
      <c r="W69" s="86">
        <v>0.70582087724573395</v>
      </c>
      <c r="X69" s="86">
        <v>0.36923438012031562</v>
      </c>
      <c r="Y69" s="86">
        <v>0.489157403456214</v>
      </c>
      <c r="Z69" s="86">
        <v>0.63812576019342704</v>
      </c>
      <c r="AA69" s="86">
        <v>0.47938219488147998</v>
      </c>
      <c r="AB69" s="86">
        <v>0.62038166207102097</v>
      </c>
      <c r="AC69" s="86">
        <v>0.53833266738791796</v>
      </c>
      <c r="AD69" s="86">
        <v>0.43150875279206302</v>
      </c>
      <c r="AE69" s="86">
        <v>0.51372169465935402</v>
      </c>
      <c r="AF69" s="86">
        <v>0.62329127824894304</v>
      </c>
      <c r="AG69" s="86">
        <v>0.73317781775834001</v>
      </c>
      <c r="AH69" s="86">
        <v>0.36940884585088402</v>
      </c>
      <c r="AI69" s="86">
        <v>0.63716326242471499</v>
      </c>
      <c r="AJ69" s="86">
        <v>0.72740647239552703</v>
      </c>
      <c r="AK69" s="86">
        <v>0.69192352850965799</v>
      </c>
      <c r="AL69" s="86">
        <v>0.74648807157369201</v>
      </c>
      <c r="AM69" s="86">
        <v>0.68416641078201101</v>
      </c>
      <c r="AN69" s="86">
        <v>0.32209511739260599</v>
      </c>
      <c r="AO69" s="86">
        <v>0.47452100502003702</v>
      </c>
      <c r="AP69" s="86">
        <v>0.59263619970492298</v>
      </c>
      <c r="AQ69" s="86">
        <v>0.43710353241918298</v>
      </c>
      <c r="AR69" s="86">
        <v>0.48430644254051203</v>
      </c>
      <c r="AS69" s="86">
        <v>0.65145654948815002</v>
      </c>
      <c r="AT69" s="86">
        <v>0.82991812039914503</v>
      </c>
      <c r="AU69" s="86"/>
      <c r="AV69" s="86">
        <v>0.37148875735781201</v>
      </c>
      <c r="AW69" s="86">
        <v>0.26</v>
      </c>
      <c r="AX69" s="86">
        <v>0.45</v>
      </c>
      <c r="AY69" s="87">
        <v>0.25</v>
      </c>
      <c r="AZ69" s="86">
        <v>0.30771906871202098</v>
      </c>
      <c r="BA69" s="86">
        <v>0.33993111943603754</v>
      </c>
      <c r="BB69" s="86">
        <v>0.34781354019439997</v>
      </c>
    </row>
    <row r="70" spans="1:54" ht="14" thickBot="1">
      <c r="A70" s="81" t="s">
        <v>362</v>
      </c>
      <c r="B70" s="89"/>
      <c r="C70" s="89">
        <f>C31/C32</f>
        <v>41.31647452584604</v>
      </c>
      <c r="D70" s="89">
        <f t="shared" ref="D70:BB70" si="16">D31/D32</f>
        <v>22.270026633886499</v>
      </c>
      <c r="E70" s="89">
        <f t="shared" si="16"/>
        <v>38.994152046783618</v>
      </c>
      <c r="F70" s="89">
        <f t="shared" si="16"/>
        <v>78.762091503267968</v>
      </c>
      <c r="G70" s="89"/>
      <c r="H70" s="89">
        <f t="shared" si="16"/>
        <v>10.885795244548477</v>
      </c>
      <c r="I70" s="89">
        <f t="shared" si="16"/>
        <v>5.5104364326375714</v>
      </c>
      <c r="J70" s="89">
        <f t="shared" si="16"/>
        <v>4.8121890547263684</v>
      </c>
      <c r="K70" s="89">
        <f t="shared" si="16"/>
        <v>5.8356589147286817</v>
      </c>
      <c r="L70" s="89">
        <f t="shared" si="16"/>
        <v>20.388007054673722</v>
      </c>
      <c r="M70" s="89">
        <f t="shared" si="16"/>
        <v>19.176800748362957</v>
      </c>
      <c r="N70" s="89">
        <f t="shared" si="16"/>
        <v>7.3393393393393405</v>
      </c>
      <c r="O70" s="89">
        <f t="shared" si="16"/>
        <v>8.5163453478625311</v>
      </c>
      <c r="P70" s="89">
        <f t="shared" si="16"/>
        <v>4.0734612839179345</v>
      </c>
      <c r="Q70" s="89">
        <f t="shared" si="16"/>
        <v>37.783030604628017</v>
      </c>
      <c r="R70" s="89">
        <f t="shared" si="16"/>
        <v>7.6825910931174084</v>
      </c>
      <c r="S70" s="89">
        <f t="shared" si="16"/>
        <v>4.6540130151843808</v>
      </c>
      <c r="T70" s="89">
        <f t="shared" si="16"/>
        <v>6.0761973875181425</v>
      </c>
      <c r="U70" s="89">
        <f t="shared" si="16"/>
        <v>5.3627996575342465</v>
      </c>
      <c r="V70" s="89">
        <f t="shared" si="16"/>
        <v>16.735700197238657</v>
      </c>
      <c r="W70" s="89">
        <f t="shared" si="16"/>
        <v>11.66180776560077</v>
      </c>
      <c r="X70" s="89">
        <f t="shared" si="16"/>
        <v>8.9924133396839654</v>
      </c>
      <c r="Y70" s="89">
        <f t="shared" si="16"/>
        <v>3.4105071718862039</v>
      </c>
      <c r="Z70" s="89">
        <f t="shared" si="16"/>
        <v>5.6745169082125608</v>
      </c>
      <c r="AA70" s="89">
        <f t="shared" si="16"/>
        <v>4.6850393700787398</v>
      </c>
      <c r="AB70" s="89">
        <f t="shared" si="16"/>
        <v>4.2094955489614243</v>
      </c>
      <c r="AC70" s="89">
        <f t="shared" si="16"/>
        <v>7.0801980198019807</v>
      </c>
      <c r="AD70" s="89">
        <f t="shared" si="16"/>
        <v>14.399120664386908</v>
      </c>
      <c r="AE70" s="89">
        <f t="shared" si="16"/>
        <v>6.797285067873303</v>
      </c>
      <c r="AF70" s="89">
        <f t="shared" si="16"/>
        <v>9.8639455782312933</v>
      </c>
      <c r="AG70" s="89">
        <f t="shared" si="16"/>
        <v>7.6393129770992365</v>
      </c>
      <c r="AH70" s="89">
        <f t="shared" si="16"/>
        <v>15.865102639296188</v>
      </c>
      <c r="AI70" s="89">
        <f t="shared" si="16"/>
        <v>5.1514469387095216</v>
      </c>
      <c r="AJ70" s="89">
        <f t="shared" si="16"/>
        <v>5.1334815248426242</v>
      </c>
      <c r="AK70" s="89">
        <f t="shared" si="16"/>
        <v>3.2334840134054259</v>
      </c>
      <c r="AL70" s="89">
        <f t="shared" si="16"/>
        <v>4.5777825778759578</v>
      </c>
      <c r="AM70" s="89">
        <f t="shared" si="16"/>
        <v>7.5622119815668203</v>
      </c>
      <c r="AN70" s="89">
        <f t="shared" si="16"/>
        <v>14.035087719298247</v>
      </c>
      <c r="AO70" s="89">
        <f t="shared" si="16"/>
        <v>10.073654390934845</v>
      </c>
      <c r="AP70" s="89">
        <f t="shared" si="16"/>
        <v>7.2130384167636787</v>
      </c>
      <c r="AQ70" s="89">
        <f t="shared" si="16"/>
        <v>24.747838616714699</v>
      </c>
      <c r="AR70" s="89">
        <f t="shared" si="16"/>
        <v>11.828571428571429</v>
      </c>
      <c r="AS70" s="89">
        <f t="shared" si="16"/>
        <v>3.6743999999999999</v>
      </c>
      <c r="AT70" s="89">
        <f t="shared" si="16"/>
        <v>9.7629999999999999</v>
      </c>
      <c r="AU70" s="89"/>
      <c r="AV70" s="89">
        <f t="shared" si="16"/>
        <v>10.860735009671179</v>
      </c>
      <c r="AW70" s="89">
        <f t="shared" si="16"/>
        <v>33.620987228167067</v>
      </c>
      <c r="AX70" s="89">
        <f t="shared" si="16"/>
        <v>18.897204490424826</v>
      </c>
      <c r="AY70" s="89">
        <f t="shared" si="16"/>
        <v>50.834460983310777</v>
      </c>
      <c r="AZ70" s="89">
        <f t="shared" si="16"/>
        <v>25.018992149911369</v>
      </c>
      <c r="BA70" s="89">
        <f t="shared" si="16"/>
        <v>26.537344945896013</v>
      </c>
      <c r="BB70" s="89">
        <f t="shared" si="16"/>
        <v>42.043657070547297</v>
      </c>
    </row>
    <row r="71" spans="1:54" ht="14" thickTop="1"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  <c r="AR71" s="90"/>
      <c r="AS71" s="90"/>
      <c r="AT71" s="90"/>
    </row>
    <row r="72" spans="1:54" s="2" customFormat="1" ht="17">
      <c r="A72" s="53" t="s">
        <v>392</v>
      </c>
      <c r="B72" s="53"/>
      <c r="H72" s="53"/>
      <c r="I72" s="53"/>
      <c r="J72" s="53"/>
      <c r="N72" s="53"/>
      <c r="O72" s="53"/>
      <c r="P72" s="53"/>
      <c r="R72" s="53"/>
    </row>
    <row r="73" spans="1:54" s="2" customFormat="1">
      <c r="A73" s="8"/>
      <c r="B73" s="8"/>
      <c r="H73" s="8"/>
      <c r="I73" s="8"/>
      <c r="J73" s="8"/>
      <c r="N73" s="8"/>
      <c r="O73" s="8"/>
      <c r="P73" s="8"/>
      <c r="V73" s="5"/>
      <c r="Z73" s="5"/>
      <c r="AA73" s="5"/>
      <c r="AB73" s="5"/>
    </row>
    <row r="74" spans="1:54" s="2" customFormat="1">
      <c r="A74" s="53" t="s">
        <v>77</v>
      </c>
      <c r="B74" s="53"/>
    </row>
    <row r="75" spans="1:54" s="91" customFormat="1">
      <c r="A75" s="52" t="s">
        <v>393</v>
      </c>
      <c r="B75" s="52"/>
      <c r="H75" s="8"/>
      <c r="I75" s="8"/>
      <c r="J75" s="8"/>
      <c r="N75" s="8"/>
      <c r="O75" s="8"/>
      <c r="P75" s="8"/>
      <c r="AV75" s="9"/>
    </row>
    <row r="76" spans="1:54" s="2" customFormat="1">
      <c r="A76" s="8"/>
      <c r="B76" s="8"/>
      <c r="H76" s="8"/>
      <c r="I76" s="8"/>
      <c r="J76" s="8"/>
      <c r="N76" s="8"/>
      <c r="O76" s="8"/>
      <c r="P76" s="8"/>
    </row>
    <row r="77" spans="1:54" s="2" customFormat="1">
      <c r="A77" s="8"/>
      <c r="B77" s="8"/>
      <c r="H77" s="8"/>
      <c r="I77" s="8"/>
      <c r="J77" s="8"/>
      <c r="N77" s="8"/>
      <c r="O77" s="8"/>
      <c r="P77" s="8"/>
    </row>
    <row r="78" spans="1:54" s="2" customFormat="1">
      <c r="A78" s="8"/>
      <c r="B78" s="8"/>
      <c r="H78" s="8"/>
      <c r="I78" s="8"/>
      <c r="J78" s="8"/>
      <c r="N78" s="8"/>
      <c r="O78" s="8"/>
      <c r="P78" s="8"/>
    </row>
    <row r="80" spans="1:54">
      <c r="C80" s="92"/>
      <c r="D80" s="92"/>
      <c r="E80" s="92"/>
      <c r="F80" s="92"/>
    </row>
  </sheetData>
  <mergeCells count="8">
    <mergeCell ref="AV2:BB2"/>
    <mergeCell ref="AV5:BB5"/>
    <mergeCell ref="H2:AT2"/>
    <mergeCell ref="C2:F2"/>
    <mergeCell ref="C5:F5"/>
    <mergeCell ref="AM5:AT5"/>
    <mergeCell ref="H5:Y5"/>
    <mergeCell ref="Z5:AL5"/>
  </mergeCells>
  <phoneticPr fontId="16" type="noConversion"/>
  <pageMargins left="0.7" right="0.7" top="0.75" bottom="0.75" header="0.3" footer="0.3"/>
  <pageSetup paperSize="9" orientation="portrait" horizontalDpi="0" verticalDpi="0"/>
  <ignoredErrors>
    <ignoredError sqref="C58 D58:AV58 AY59 AX58:BB58 AW58:AW5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69"/>
  <sheetViews>
    <sheetView workbookViewId="0">
      <pane xSplit="1" ySplit="4" topLeftCell="B11" activePane="bottomRight" state="frozen"/>
      <selection pane="topRight" activeCell="B1" sqref="B1"/>
      <selection pane="bottomLeft" activeCell="A5" sqref="A5"/>
      <selection pane="bottomRight" activeCell="M18" sqref="M18:M23"/>
    </sheetView>
  </sheetViews>
  <sheetFormatPr baseColWidth="10" defaultColWidth="11" defaultRowHeight="13"/>
  <cols>
    <col min="1" max="1" width="15.83203125" style="54" customWidth="1"/>
    <col min="2" max="3" width="10.83203125" style="63"/>
    <col min="4" max="4" width="11" style="54"/>
    <col min="5" max="5" width="1.33203125" style="54" customWidth="1"/>
    <col min="6" max="11" width="11" style="54"/>
    <col min="12" max="12" width="1.33203125" style="54" customWidth="1"/>
    <col min="13" max="16384" width="11" style="54"/>
  </cols>
  <sheetData>
    <row r="1" spans="1:18" s="34" customFormat="1" ht="14" thickBot="1">
      <c r="A1" s="112" t="s">
        <v>163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</row>
    <row r="2" spans="1:18" s="34" customFormat="1" ht="16" customHeight="1" thickBot="1">
      <c r="A2" s="110" t="s">
        <v>78</v>
      </c>
      <c r="B2" s="36" t="s">
        <v>73</v>
      </c>
      <c r="C2" s="36" t="s">
        <v>74</v>
      </c>
      <c r="D2" s="110" t="s">
        <v>79</v>
      </c>
      <c r="E2" s="35"/>
      <c r="F2" s="113" t="s">
        <v>80</v>
      </c>
      <c r="G2" s="113"/>
      <c r="H2" s="113"/>
      <c r="I2" s="113"/>
      <c r="J2" s="113"/>
      <c r="K2" s="113"/>
      <c r="L2" s="14"/>
      <c r="M2" s="113" t="s">
        <v>81</v>
      </c>
      <c r="N2" s="113"/>
      <c r="O2" s="113"/>
      <c r="P2" s="113"/>
      <c r="Q2" s="113"/>
      <c r="R2" s="113"/>
    </row>
    <row r="3" spans="1:18" s="34" customFormat="1" ht="37" customHeight="1" thickBot="1">
      <c r="A3" s="111"/>
      <c r="B3" s="38" t="s">
        <v>82</v>
      </c>
      <c r="C3" s="38" t="s">
        <v>82</v>
      </c>
      <c r="D3" s="111"/>
      <c r="E3" s="37"/>
      <c r="F3" s="39" t="s">
        <v>209</v>
      </c>
      <c r="G3" s="37" t="s">
        <v>83</v>
      </c>
      <c r="H3" s="39" t="s">
        <v>210</v>
      </c>
      <c r="I3" s="37" t="s">
        <v>83</v>
      </c>
      <c r="J3" s="39" t="s">
        <v>211</v>
      </c>
      <c r="K3" s="37" t="s">
        <v>83</v>
      </c>
      <c r="L3" s="37"/>
      <c r="M3" s="39" t="s">
        <v>209</v>
      </c>
      <c r="N3" s="37" t="s">
        <v>83</v>
      </c>
      <c r="O3" s="39" t="s">
        <v>210</v>
      </c>
      <c r="P3" s="37" t="s">
        <v>83</v>
      </c>
      <c r="Q3" s="39" t="s">
        <v>211</v>
      </c>
      <c r="R3" s="37" t="s">
        <v>83</v>
      </c>
    </row>
    <row r="4" spans="1:18" ht="17" customHeight="1">
      <c r="A4" s="19" t="s">
        <v>194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s="56" customFormat="1" ht="16" customHeight="1">
      <c r="A5" s="26" t="s">
        <v>195</v>
      </c>
      <c r="B5" s="30">
        <v>26.9</v>
      </c>
      <c r="C5" s="30">
        <v>49.94</v>
      </c>
      <c r="D5" s="31">
        <f t="shared" ref="D5:D16" si="0">B5/C5</f>
        <v>0.53864637565078088</v>
      </c>
      <c r="E5" s="31"/>
      <c r="F5" s="26">
        <v>0.17216000000000001</v>
      </c>
      <c r="G5" s="26">
        <v>3.9699999999999996E-3</v>
      </c>
      <c r="H5" s="26">
        <v>11.126440000000001</v>
      </c>
      <c r="I5" s="26">
        <v>0.27317000000000002</v>
      </c>
      <c r="J5" s="26">
        <v>0.46862999999999999</v>
      </c>
      <c r="K5" s="26">
        <v>6.9800000000000001E-3</v>
      </c>
      <c r="L5" s="33"/>
      <c r="M5" s="26">
        <v>2579</v>
      </c>
      <c r="N5" s="26">
        <v>22</v>
      </c>
      <c r="O5" s="26">
        <v>2534</v>
      </c>
      <c r="P5" s="26">
        <v>23</v>
      </c>
      <c r="Q5" s="26">
        <v>2478</v>
      </c>
      <c r="R5" s="26">
        <v>31</v>
      </c>
    </row>
    <row r="6" spans="1:18" s="56" customFormat="1" ht="16" customHeight="1">
      <c r="A6" s="26" t="s">
        <v>196</v>
      </c>
      <c r="B6" s="30">
        <v>27.21</v>
      </c>
      <c r="C6" s="30">
        <v>66.14</v>
      </c>
      <c r="D6" s="31">
        <f t="shared" si="0"/>
        <v>0.41140006047777444</v>
      </c>
      <c r="E6" s="31"/>
      <c r="F6" s="26">
        <v>0.17632999999999999</v>
      </c>
      <c r="G6" s="26">
        <v>3.9300000000000003E-3</v>
      </c>
      <c r="H6" s="26">
        <v>12.1897</v>
      </c>
      <c r="I6" s="26">
        <v>0.29083999999999999</v>
      </c>
      <c r="J6" s="26">
        <v>0.50124999999999997</v>
      </c>
      <c r="K6" s="26">
        <v>7.3899999999999999E-3</v>
      </c>
      <c r="L6" s="33"/>
      <c r="M6" s="26">
        <v>2619</v>
      </c>
      <c r="N6" s="26">
        <v>21</v>
      </c>
      <c r="O6" s="26">
        <v>2619</v>
      </c>
      <c r="P6" s="26">
        <v>22</v>
      </c>
      <c r="Q6" s="26">
        <v>2619</v>
      </c>
      <c r="R6" s="26">
        <v>32</v>
      </c>
    </row>
    <row r="7" spans="1:18" s="56" customFormat="1" ht="16" customHeight="1">
      <c r="A7" s="26" t="s">
        <v>197</v>
      </c>
      <c r="B7" s="30">
        <v>27.83</v>
      </c>
      <c r="C7" s="30">
        <v>45.02</v>
      </c>
      <c r="D7" s="31">
        <f t="shared" si="0"/>
        <v>0.61816970235450908</v>
      </c>
      <c r="E7" s="31"/>
      <c r="F7" s="26">
        <v>0.17602000000000001</v>
      </c>
      <c r="G7" s="26">
        <v>4.1599999999999996E-3</v>
      </c>
      <c r="H7" s="26">
        <v>11.77575</v>
      </c>
      <c r="I7" s="26">
        <v>0.29503000000000001</v>
      </c>
      <c r="J7" s="26">
        <v>0.48508000000000001</v>
      </c>
      <c r="K7" s="26">
        <v>7.3099999999999997E-3</v>
      </c>
      <c r="L7" s="33"/>
      <c r="M7" s="26">
        <v>2616</v>
      </c>
      <c r="N7" s="26">
        <v>23</v>
      </c>
      <c r="O7" s="26">
        <v>2587</v>
      </c>
      <c r="P7" s="26">
        <v>23</v>
      </c>
      <c r="Q7" s="26">
        <v>2549</v>
      </c>
      <c r="R7" s="26">
        <v>32</v>
      </c>
    </row>
    <row r="8" spans="1:18" s="56" customFormat="1" ht="16" customHeight="1">
      <c r="A8" s="26" t="s">
        <v>198</v>
      </c>
      <c r="B8" s="30">
        <v>20.07</v>
      </c>
      <c r="C8" s="30">
        <v>60.17</v>
      </c>
      <c r="D8" s="31">
        <f t="shared" si="0"/>
        <v>0.3335549277048363</v>
      </c>
      <c r="E8" s="31"/>
      <c r="F8" s="26">
        <v>0.16349</v>
      </c>
      <c r="G8" s="26">
        <v>5.1500000000000001E-3</v>
      </c>
      <c r="H8" s="26">
        <v>8.2708200000000005</v>
      </c>
      <c r="I8" s="26">
        <v>0.26407000000000003</v>
      </c>
      <c r="J8" s="26">
        <v>0.36682999999999999</v>
      </c>
      <c r="K8" s="26">
        <v>6.4200000000000004E-3</v>
      </c>
      <c r="L8" s="33"/>
      <c r="M8" s="26">
        <v>2492</v>
      </c>
      <c r="N8" s="26">
        <v>31</v>
      </c>
      <c r="O8" s="26">
        <v>2261</v>
      </c>
      <c r="P8" s="26">
        <v>29</v>
      </c>
      <c r="Q8" s="26">
        <v>2014</v>
      </c>
      <c r="R8" s="26">
        <v>30</v>
      </c>
    </row>
    <row r="9" spans="1:18" s="56" customFormat="1" ht="16" customHeight="1">
      <c r="A9" s="26" t="s">
        <v>199</v>
      </c>
      <c r="B9" s="30">
        <v>24.49</v>
      </c>
      <c r="C9" s="30">
        <v>77.64</v>
      </c>
      <c r="D9" s="31">
        <f t="shared" si="0"/>
        <v>0.31543019062339001</v>
      </c>
      <c r="E9" s="31"/>
      <c r="F9" s="26">
        <v>0.16786000000000001</v>
      </c>
      <c r="G9" s="26">
        <v>3.8300000000000001E-3</v>
      </c>
      <c r="H9" s="26">
        <v>10.007210000000001</v>
      </c>
      <c r="I9" s="26">
        <v>0.24290999999999999</v>
      </c>
      <c r="J9" s="26">
        <v>0.43226999999999999</v>
      </c>
      <c r="K9" s="26">
        <v>6.4200000000000004E-3</v>
      </c>
      <c r="L9" s="33"/>
      <c r="M9" s="26">
        <v>2536</v>
      </c>
      <c r="N9" s="26">
        <v>22</v>
      </c>
      <c r="O9" s="26">
        <v>2435</v>
      </c>
      <c r="P9" s="26">
        <v>22</v>
      </c>
      <c r="Q9" s="26">
        <v>2316</v>
      </c>
      <c r="R9" s="26">
        <v>29</v>
      </c>
    </row>
    <row r="10" spans="1:18" s="56" customFormat="1" ht="16" customHeight="1">
      <c r="A10" s="26" t="s">
        <v>200</v>
      </c>
      <c r="B10" s="30">
        <v>10.27</v>
      </c>
      <c r="C10" s="30">
        <v>23.88</v>
      </c>
      <c r="D10" s="31">
        <f t="shared" si="0"/>
        <v>0.43006700167504186</v>
      </c>
      <c r="E10" s="31"/>
      <c r="F10" s="26">
        <v>0.17496999999999999</v>
      </c>
      <c r="G10" s="26">
        <v>5.3600000000000002E-3</v>
      </c>
      <c r="H10" s="26">
        <v>11.89744</v>
      </c>
      <c r="I10" s="26">
        <v>0.37402000000000002</v>
      </c>
      <c r="J10" s="26">
        <v>0.49303999999999998</v>
      </c>
      <c r="K10" s="26">
        <v>8.1799999999999998E-3</v>
      </c>
      <c r="L10" s="33"/>
      <c r="M10" s="26">
        <v>2606</v>
      </c>
      <c r="N10" s="26">
        <v>31</v>
      </c>
      <c r="O10" s="26">
        <v>2596</v>
      </c>
      <c r="P10" s="26">
        <v>29</v>
      </c>
      <c r="Q10" s="26">
        <v>2584</v>
      </c>
      <c r="R10" s="26">
        <v>35</v>
      </c>
    </row>
    <row r="11" spans="1:18" s="56" customFormat="1" ht="16" customHeight="1">
      <c r="A11" s="26" t="s">
        <v>201</v>
      </c>
      <c r="B11" s="30">
        <v>26.97</v>
      </c>
      <c r="C11" s="30">
        <v>62.48</v>
      </c>
      <c r="D11" s="31">
        <f t="shared" si="0"/>
        <v>0.43165813060179259</v>
      </c>
      <c r="E11" s="31"/>
      <c r="F11" s="26">
        <v>0.17483000000000001</v>
      </c>
      <c r="G11" s="26">
        <v>4.1000000000000003E-3</v>
      </c>
      <c r="H11" s="26">
        <v>10.37829</v>
      </c>
      <c r="I11" s="26">
        <v>0.25733</v>
      </c>
      <c r="J11" s="26">
        <v>0.43043999999999999</v>
      </c>
      <c r="K11" s="26">
        <v>6.4900000000000001E-3</v>
      </c>
      <c r="L11" s="33"/>
      <c r="M11" s="26">
        <v>2604</v>
      </c>
      <c r="N11" s="26">
        <v>22</v>
      </c>
      <c r="O11" s="26">
        <v>2469</v>
      </c>
      <c r="P11" s="26">
        <v>23</v>
      </c>
      <c r="Q11" s="26">
        <v>2308</v>
      </c>
      <c r="R11" s="26">
        <v>29</v>
      </c>
    </row>
    <row r="12" spans="1:18" s="56" customFormat="1" ht="16" customHeight="1">
      <c r="A12" s="26" t="s">
        <v>202</v>
      </c>
      <c r="B12" s="30">
        <v>10.99</v>
      </c>
      <c r="C12" s="30">
        <v>26.94</v>
      </c>
      <c r="D12" s="31">
        <f t="shared" si="0"/>
        <v>0.40794357832219746</v>
      </c>
      <c r="E12" s="31"/>
      <c r="F12" s="26">
        <v>0.17484</v>
      </c>
      <c r="G12" s="26">
        <v>4.8700000000000002E-3</v>
      </c>
      <c r="H12" s="26">
        <v>11.425990000000001</v>
      </c>
      <c r="I12" s="26">
        <v>0.32845000000000002</v>
      </c>
      <c r="J12" s="26">
        <v>0.47384999999999999</v>
      </c>
      <c r="K12" s="26">
        <v>7.7400000000000004E-3</v>
      </c>
      <c r="L12" s="33"/>
      <c r="M12" s="26">
        <v>2605</v>
      </c>
      <c r="N12" s="26">
        <v>27</v>
      </c>
      <c r="O12" s="26">
        <v>2559</v>
      </c>
      <c r="P12" s="26">
        <v>27</v>
      </c>
      <c r="Q12" s="26">
        <v>2500</v>
      </c>
      <c r="R12" s="26">
        <v>34</v>
      </c>
    </row>
    <row r="13" spans="1:18" s="56" customFormat="1" ht="16" customHeight="1">
      <c r="A13" s="26" t="s">
        <v>203</v>
      </c>
      <c r="B13" s="30">
        <v>46.79</v>
      </c>
      <c r="C13" s="30">
        <v>54.46</v>
      </c>
      <c r="D13" s="31">
        <f t="shared" si="0"/>
        <v>0.85916268821153141</v>
      </c>
      <c r="E13" s="31"/>
      <c r="F13" s="26">
        <v>0.17509</v>
      </c>
      <c r="G13" s="26">
        <v>4.0200000000000001E-3</v>
      </c>
      <c r="H13" s="26">
        <v>11.918100000000001</v>
      </c>
      <c r="I13" s="26">
        <v>0.29111999999999999</v>
      </c>
      <c r="J13" s="26">
        <v>0.49357000000000001</v>
      </c>
      <c r="K13" s="26">
        <v>7.3699999999999998E-3</v>
      </c>
      <c r="L13" s="33"/>
      <c r="M13" s="26">
        <v>2607</v>
      </c>
      <c r="N13" s="26">
        <v>22</v>
      </c>
      <c r="O13" s="26">
        <v>2598</v>
      </c>
      <c r="P13" s="26">
        <v>23</v>
      </c>
      <c r="Q13" s="26">
        <v>2586</v>
      </c>
      <c r="R13" s="26">
        <v>32</v>
      </c>
    </row>
    <row r="14" spans="1:18" s="56" customFormat="1" ht="16" customHeight="1">
      <c r="A14" s="26" t="s">
        <v>204</v>
      </c>
      <c r="B14" s="30">
        <v>39.83</v>
      </c>
      <c r="C14" s="30">
        <v>111.34</v>
      </c>
      <c r="D14" s="31">
        <f t="shared" si="0"/>
        <v>0.3577330698760553</v>
      </c>
      <c r="E14" s="31"/>
      <c r="F14" s="26">
        <v>0.17272999999999999</v>
      </c>
      <c r="G14" s="26">
        <v>3.8300000000000001E-3</v>
      </c>
      <c r="H14" s="26">
        <v>10.30409</v>
      </c>
      <c r="I14" s="26">
        <v>0.24424999999999999</v>
      </c>
      <c r="J14" s="26">
        <v>0.43254999999999999</v>
      </c>
      <c r="K14" s="26">
        <v>6.3499999999999997E-3</v>
      </c>
      <c r="L14" s="33"/>
      <c r="M14" s="26">
        <v>2584</v>
      </c>
      <c r="N14" s="26">
        <v>21</v>
      </c>
      <c r="O14" s="26">
        <v>2462</v>
      </c>
      <c r="P14" s="26">
        <v>22</v>
      </c>
      <c r="Q14" s="26">
        <v>2317</v>
      </c>
      <c r="R14" s="26">
        <v>29</v>
      </c>
    </row>
    <row r="15" spans="1:18" s="56" customFormat="1" ht="16" customHeight="1">
      <c r="A15" s="26" t="s">
        <v>205</v>
      </c>
      <c r="B15" s="30">
        <v>49.36</v>
      </c>
      <c r="C15" s="30">
        <v>57.68</v>
      </c>
      <c r="D15" s="31">
        <f t="shared" si="0"/>
        <v>0.855755894590846</v>
      </c>
      <c r="E15" s="31"/>
      <c r="F15" s="26">
        <v>0.17541000000000001</v>
      </c>
      <c r="G15" s="26">
        <v>4.0000000000000001E-3</v>
      </c>
      <c r="H15" s="26">
        <v>11.25258</v>
      </c>
      <c r="I15" s="26">
        <v>0.27284000000000003</v>
      </c>
      <c r="J15" s="26">
        <v>0.46514</v>
      </c>
      <c r="K15" s="26">
        <v>6.8999999999999999E-3</v>
      </c>
      <c r="L15" s="33"/>
      <c r="M15" s="26">
        <v>2610</v>
      </c>
      <c r="N15" s="26">
        <v>22</v>
      </c>
      <c r="O15" s="26">
        <v>2544</v>
      </c>
      <c r="P15" s="26">
        <v>23</v>
      </c>
      <c r="Q15" s="26">
        <v>2462</v>
      </c>
      <c r="R15" s="26">
        <v>30</v>
      </c>
    </row>
    <row r="16" spans="1:18" s="56" customFormat="1" ht="16" customHeight="1">
      <c r="A16" s="26" t="s">
        <v>206</v>
      </c>
      <c r="B16" s="30">
        <v>11.59</v>
      </c>
      <c r="C16" s="30">
        <v>23.67</v>
      </c>
      <c r="D16" s="31">
        <f t="shared" si="0"/>
        <v>0.48964934516265313</v>
      </c>
      <c r="E16" s="31"/>
      <c r="F16" s="26">
        <v>0.17638000000000001</v>
      </c>
      <c r="G16" s="26">
        <v>5.79E-3</v>
      </c>
      <c r="H16" s="26">
        <v>10.34545</v>
      </c>
      <c r="I16" s="26">
        <v>0.34338999999999997</v>
      </c>
      <c r="J16" s="26">
        <v>0.42530000000000001</v>
      </c>
      <c r="K16" s="26">
        <v>7.6099999999999996E-3</v>
      </c>
      <c r="L16" s="33"/>
      <c r="M16" s="26">
        <v>2619</v>
      </c>
      <c r="N16" s="26">
        <v>32</v>
      </c>
      <c r="O16" s="26">
        <v>2466</v>
      </c>
      <c r="P16" s="26">
        <v>31</v>
      </c>
      <c r="Q16" s="26">
        <v>2284</v>
      </c>
      <c r="R16" s="26">
        <v>34</v>
      </c>
    </row>
    <row r="17" spans="1:26" ht="17" customHeight="1">
      <c r="A17" s="19" t="s">
        <v>255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</row>
    <row r="18" spans="1:26" ht="14">
      <c r="A18" s="26" t="s">
        <v>234</v>
      </c>
      <c r="B18" s="30">
        <v>4.16</v>
      </c>
      <c r="C18" s="30">
        <v>17.690000000000001</v>
      </c>
      <c r="D18" s="31">
        <v>0.23516110797060485</v>
      </c>
      <c r="E18" s="31"/>
      <c r="F18" s="32">
        <v>0.16769999999999999</v>
      </c>
      <c r="G18" s="33">
        <v>5.3E-3</v>
      </c>
      <c r="H18" s="33">
        <v>9.7006999999999994</v>
      </c>
      <c r="I18" s="33">
        <v>0.30923</v>
      </c>
      <c r="J18" s="33">
        <v>0.41943999999999998</v>
      </c>
      <c r="K18" s="33">
        <v>6.45E-3</v>
      </c>
      <c r="L18" s="33"/>
      <c r="M18" s="26">
        <v>2535</v>
      </c>
      <c r="N18" s="26">
        <v>33</v>
      </c>
      <c r="O18" s="26">
        <v>2407</v>
      </c>
      <c r="P18" s="26">
        <v>29</v>
      </c>
      <c r="Q18" s="26">
        <v>2258</v>
      </c>
      <c r="R18" s="26">
        <v>29</v>
      </c>
      <c r="S18" s="57"/>
    </row>
    <row r="19" spans="1:26" ht="14">
      <c r="A19" s="26" t="s">
        <v>235</v>
      </c>
      <c r="B19" s="30">
        <v>9.5500000000000007</v>
      </c>
      <c r="C19" s="30">
        <v>41.68</v>
      </c>
      <c r="D19" s="31">
        <v>0.22912667946257201</v>
      </c>
      <c r="E19" s="31"/>
      <c r="F19" s="32">
        <v>0.16456000000000001</v>
      </c>
      <c r="G19" s="33">
        <v>5.1999999999999998E-3</v>
      </c>
      <c r="H19" s="33">
        <v>8.9767299999999999</v>
      </c>
      <c r="I19" s="33">
        <v>0.28584999999999999</v>
      </c>
      <c r="J19" s="33">
        <v>0.39555000000000001</v>
      </c>
      <c r="K19" s="33">
        <v>6.13E-3</v>
      </c>
      <c r="L19" s="33"/>
      <c r="M19" s="26">
        <v>2503</v>
      </c>
      <c r="N19" s="26">
        <v>33</v>
      </c>
      <c r="O19" s="26">
        <v>2336</v>
      </c>
      <c r="P19" s="26">
        <v>29</v>
      </c>
      <c r="Q19" s="26">
        <v>2149</v>
      </c>
      <c r="R19" s="26">
        <v>28</v>
      </c>
      <c r="S19" s="58"/>
    </row>
    <row r="20" spans="1:26" ht="14">
      <c r="A20" s="26" t="s">
        <v>230</v>
      </c>
      <c r="B20" s="30">
        <v>2.88</v>
      </c>
      <c r="C20" s="30">
        <v>10.98</v>
      </c>
      <c r="D20" s="31">
        <v>0.26229508196721307</v>
      </c>
      <c r="E20" s="31"/>
      <c r="F20" s="32">
        <v>0.16722000000000001</v>
      </c>
      <c r="G20" s="33">
        <v>6.6499999999999997E-3</v>
      </c>
      <c r="H20" s="33">
        <v>9.3988099999999992</v>
      </c>
      <c r="I20" s="33">
        <v>0.37086000000000002</v>
      </c>
      <c r="J20" s="33">
        <v>0.40756999999999999</v>
      </c>
      <c r="K20" s="33">
        <v>7.3499999999999998E-3</v>
      </c>
      <c r="L20" s="33"/>
      <c r="M20" s="26">
        <v>2530</v>
      </c>
      <c r="N20" s="26">
        <v>42</v>
      </c>
      <c r="O20" s="26">
        <v>2378</v>
      </c>
      <c r="P20" s="26">
        <v>36</v>
      </c>
      <c r="Q20" s="26">
        <v>2204</v>
      </c>
      <c r="R20" s="26">
        <v>34</v>
      </c>
      <c r="S20" s="58"/>
    </row>
    <row r="21" spans="1:26" ht="14">
      <c r="A21" s="26" t="s">
        <v>231</v>
      </c>
      <c r="B21" s="30">
        <v>11.3</v>
      </c>
      <c r="C21" s="30">
        <v>36.9</v>
      </c>
      <c r="D21" s="31">
        <v>0.30623306233062336</v>
      </c>
      <c r="E21" s="31"/>
      <c r="F21" s="32">
        <v>0.16864000000000001</v>
      </c>
      <c r="G21" s="33">
        <v>5.2300000000000003E-3</v>
      </c>
      <c r="H21" s="33">
        <v>11.25858</v>
      </c>
      <c r="I21" s="33">
        <v>0.35300999999999999</v>
      </c>
      <c r="J21" s="33">
        <v>0.48408000000000001</v>
      </c>
      <c r="K21" s="33">
        <v>7.3499999999999998E-3</v>
      </c>
      <c r="L21" s="33"/>
      <c r="M21" s="26">
        <v>2544</v>
      </c>
      <c r="N21" s="26">
        <v>32</v>
      </c>
      <c r="O21" s="26">
        <v>2545</v>
      </c>
      <c r="P21" s="26">
        <v>29</v>
      </c>
      <c r="Q21" s="26">
        <v>2545</v>
      </c>
      <c r="R21" s="26">
        <v>32</v>
      </c>
      <c r="S21" s="58"/>
    </row>
    <row r="22" spans="1:26" ht="14">
      <c r="A22" s="26" t="s">
        <v>232</v>
      </c>
      <c r="B22" s="30">
        <v>4.29</v>
      </c>
      <c r="C22" s="30">
        <v>13.83</v>
      </c>
      <c r="D22" s="31">
        <v>0.31019522776572667</v>
      </c>
      <c r="E22" s="31"/>
      <c r="F22" s="32">
        <v>0.16869999999999999</v>
      </c>
      <c r="G22" s="33">
        <v>6.13E-3</v>
      </c>
      <c r="H22" s="33">
        <v>11.23433</v>
      </c>
      <c r="I22" s="33">
        <v>0.40728999999999999</v>
      </c>
      <c r="J22" s="33">
        <v>0.48286000000000001</v>
      </c>
      <c r="K22" s="33">
        <v>8.2900000000000005E-3</v>
      </c>
      <c r="L22" s="33"/>
      <c r="M22" s="26">
        <v>2545</v>
      </c>
      <c r="N22" s="26">
        <v>38</v>
      </c>
      <c r="O22" s="26">
        <v>2543</v>
      </c>
      <c r="P22" s="26">
        <v>34</v>
      </c>
      <c r="Q22" s="26">
        <v>2540</v>
      </c>
      <c r="R22" s="26">
        <v>36</v>
      </c>
      <c r="S22" s="58"/>
    </row>
    <row r="23" spans="1:26" ht="14">
      <c r="A23" s="26" t="s">
        <v>233</v>
      </c>
      <c r="B23" s="30">
        <v>10.95</v>
      </c>
      <c r="C23" s="30">
        <v>41.68</v>
      </c>
      <c r="D23" s="31">
        <v>0.26271593090211132</v>
      </c>
      <c r="E23" s="31"/>
      <c r="F23" s="32">
        <v>0.16772999999999999</v>
      </c>
      <c r="G23" s="33">
        <v>5.3699999999999998E-3</v>
      </c>
      <c r="H23" s="33">
        <v>9.8311799999999998</v>
      </c>
      <c r="I23" s="33">
        <v>0.31634000000000001</v>
      </c>
      <c r="J23" s="33">
        <v>0.42498999999999998</v>
      </c>
      <c r="K23" s="33">
        <v>6.4700000000000001E-3</v>
      </c>
      <c r="L23" s="33"/>
      <c r="M23" s="26">
        <v>2535</v>
      </c>
      <c r="N23" s="26">
        <v>34</v>
      </c>
      <c r="O23" s="26">
        <v>2419</v>
      </c>
      <c r="P23" s="26">
        <v>30</v>
      </c>
      <c r="Q23" s="26">
        <v>2283</v>
      </c>
      <c r="R23" s="26">
        <v>29</v>
      </c>
      <c r="S23" s="58"/>
    </row>
    <row r="24" spans="1:26" ht="17" customHeight="1">
      <c r="A24" s="19" t="s">
        <v>181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</row>
    <row r="25" spans="1:26" ht="14">
      <c r="A25" s="26" t="s">
        <v>141</v>
      </c>
      <c r="B25" s="30">
        <v>6.39236309132386</v>
      </c>
      <c r="C25" s="30">
        <v>15.375377076176401</v>
      </c>
      <c r="D25" s="31">
        <v>0.41575325662930201</v>
      </c>
      <c r="E25" s="31"/>
      <c r="F25" s="32">
        <v>0.16725999999999999</v>
      </c>
      <c r="G25" s="33">
        <v>2.9299999999999999E-3</v>
      </c>
      <c r="H25" s="33">
        <v>10.92897</v>
      </c>
      <c r="I25" s="33">
        <v>0.18462000000000001</v>
      </c>
      <c r="J25" s="33">
        <v>0.47477000000000003</v>
      </c>
      <c r="K25" s="33">
        <v>5.28E-3</v>
      </c>
      <c r="L25" s="33"/>
      <c r="M25" s="26">
        <v>2530</v>
      </c>
      <c r="N25" s="26">
        <v>14</v>
      </c>
      <c r="O25" s="26">
        <v>2517</v>
      </c>
      <c r="P25" s="26">
        <v>16</v>
      </c>
      <c r="Q25" s="26">
        <v>2504</v>
      </c>
      <c r="R25" s="26">
        <v>23</v>
      </c>
    </row>
    <row r="26" spans="1:26" ht="14">
      <c r="A26" s="26" t="s">
        <v>142</v>
      </c>
      <c r="B26" s="30">
        <v>9.7662334595270401</v>
      </c>
      <c r="C26" s="30">
        <v>24.379542839149401</v>
      </c>
      <c r="D26" s="31">
        <v>0.400591328720247</v>
      </c>
      <c r="E26" s="31"/>
      <c r="F26" s="32">
        <v>0.16027</v>
      </c>
      <c r="G26" s="33">
        <v>2.7799999999999999E-3</v>
      </c>
      <c r="H26" s="33">
        <v>10.180389999999999</v>
      </c>
      <c r="I26" s="33">
        <v>0.16162000000000001</v>
      </c>
      <c r="J26" s="33">
        <v>0.46184999999999998</v>
      </c>
      <c r="K26" s="33">
        <v>4.7099999999999998E-3</v>
      </c>
      <c r="L26" s="33"/>
      <c r="M26" s="26">
        <v>2458</v>
      </c>
      <c r="N26" s="26">
        <v>14</v>
      </c>
      <c r="O26" s="26">
        <v>2451</v>
      </c>
      <c r="P26" s="26">
        <v>15</v>
      </c>
      <c r="Q26" s="26">
        <v>2448</v>
      </c>
      <c r="R26" s="26">
        <v>21</v>
      </c>
      <c r="U26" s="32"/>
      <c r="V26" s="33"/>
      <c r="W26" s="33"/>
      <c r="X26" s="33"/>
      <c r="Y26" s="33"/>
      <c r="Z26" s="33"/>
    </row>
    <row r="27" spans="1:26" ht="14">
      <c r="A27" s="26" t="s">
        <v>143</v>
      </c>
      <c r="B27" s="30">
        <v>34.649778252409803</v>
      </c>
      <c r="C27" s="30">
        <v>59.796287583041099</v>
      </c>
      <c r="D27" s="31">
        <v>0.57946370339948805</v>
      </c>
      <c r="E27" s="31"/>
      <c r="F27" s="32">
        <v>0.16213</v>
      </c>
      <c r="G27" s="33">
        <v>2.0100000000000001E-3</v>
      </c>
      <c r="H27" s="33">
        <v>10.68557</v>
      </c>
      <c r="I27" s="33">
        <v>0.13594000000000001</v>
      </c>
      <c r="J27" s="33">
        <v>0.47743000000000002</v>
      </c>
      <c r="K27" s="33">
        <v>4.62E-3</v>
      </c>
      <c r="L27" s="33"/>
      <c r="M27" s="26">
        <v>2478</v>
      </c>
      <c r="N27" s="26">
        <v>10</v>
      </c>
      <c r="O27" s="26">
        <v>2496</v>
      </c>
      <c r="P27" s="26">
        <v>12</v>
      </c>
      <c r="Q27" s="26">
        <v>2516</v>
      </c>
      <c r="R27" s="26">
        <v>20</v>
      </c>
      <c r="U27" s="32"/>
      <c r="V27" s="33"/>
      <c r="W27" s="33"/>
      <c r="X27" s="33"/>
      <c r="Y27" s="33"/>
      <c r="Z27" s="33"/>
    </row>
    <row r="28" spans="1:26" ht="14">
      <c r="A28" s="26" t="s">
        <v>145</v>
      </c>
      <c r="B28" s="30">
        <v>26.922682715810499</v>
      </c>
      <c r="C28" s="30">
        <v>51.251060604216399</v>
      </c>
      <c r="D28" s="31">
        <v>0.52530976722061395</v>
      </c>
      <c r="E28" s="31"/>
      <c r="F28" s="32">
        <v>0.15049000000000001</v>
      </c>
      <c r="G28" s="33">
        <v>2.1099999999999999E-3</v>
      </c>
      <c r="H28" s="33">
        <v>9.1290499999999994</v>
      </c>
      <c r="I28" s="33">
        <v>0.14079</v>
      </c>
      <c r="J28" s="33">
        <v>0.43831999999999999</v>
      </c>
      <c r="K28" s="33">
        <v>3.98E-3</v>
      </c>
      <c r="L28" s="33"/>
      <c r="M28" s="26">
        <v>2351</v>
      </c>
      <c r="N28" s="26">
        <v>14</v>
      </c>
      <c r="O28" s="26">
        <v>2351</v>
      </c>
      <c r="P28" s="26">
        <v>14</v>
      </c>
      <c r="Q28" s="26">
        <v>2343</v>
      </c>
      <c r="R28" s="26">
        <v>18</v>
      </c>
      <c r="U28" s="32"/>
      <c r="V28" s="33"/>
      <c r="W28" s="33"/>
      <c r="X28" s="33"/>
      <c r="Y28" s="33"/>
      <c r="Z28" s="33"/>
    </row>
    <row r="29" spans="1:26" ht="14">
      <c r="A29" s="26" t="s">
        <v>144</v>
      </c>
      <c r="B29" s="30">
        <v>16.4981978642769</v>
      </c>
      <c r="C29" s="30">
        <v>34.887102543726002</v>
      </c>
      <c r="D29" s="31">
        <v>0.472902495803392</v>
      </c>
      <c r="E29" s="31"/>
      <c r="F29" s="32">
        <v>0.16250000000000001</v>
      </c>
      <c r="G29" s="33">
        <v>2.2699999999999999E-3</v>
      </c>
      <c r="H29" s="33">
        <v>10.558809999999999</v>
      </c>
      <c r="I29" s="33">
        <v>0.14687</v>
      </c>
      <c r="J29" s="33">
        <v>0.47109000000000001</v>
      </c>
      <c r="K29" s="33">
        <v>4.3099999999999996E-3</v>
      </c>
      <c r="L29" s="33"/>
      <c r="M29" s="26">
        <v>2482</v>
      </c>
      <c r="N29" s="26">
        <v>12</v>
      </c>
      <c r="O29" s="26">
        <v>2485</v>
      </c>
      <c r="P29" s="26">
        <v>13</v>
      </c>
      <c r="Q29" s="26">
        <v>2488</v>
      </c>
      <c r="R29" s="26">
        <v>19</v>
      </c>
      <c r="U29" s="32"/>
      <c r="V29" s="33"/>
      <c r="W29" s="33"/>
      <c r="X29" s="33"/>
      <c r="Y29" s="33"/>
      <c r="Z29" s="33"/>
    </row>
    <row r="30" spans="1:26" ht="14">
      <c r="A30" s="26" t="s">
        <v>146</v>
      </c>
      <c r="B30" s="30">
        <v>12.142100143889399</v>
      </c>
      <c r="C30" s="30">
        <v>26.686709713423799</v>
      </c>
      <c r="D30" s="31">
        <v>0.45498678084626298</v>
      </c>
      <c r="E30" s="31"/>
      <c r="F30" s="32">
        <v>0.15973999999999999</v>
      </c>
      <c r="G30" s="33">
        <v>2.5300000000000001E-3</v>
      </c>
      <c r="H30" s="33">
        <v>10.433450000000001</v>
      </c>
      <c r="I30" s="33">
        <v>0.17485999999999999</v>
      </c>
      <c r="J30" s="33">
        <v>0.47349000000000002</v>
      </c>
      <c r="K30" s="33">
        <v>5.2399999999999999E-3</v>
      </c>
      <c r="L30" s="33"/>
      <c r="M30" s="26">
        <v>2453</v>
      </c>
      <c r="N30" s="26">
        <v>14</v>
      </c>
      <c r="O30" s="26">
        <v>2474</v>
      </c>
      <c r="P30" s="26">
        <v>16</v>
      </c>
      <c r="Q30" s="26">
        <v>2499</v>
      </c>
      <c r="R30" s="26">
        <v>23</v>
      </c>
      <c r="U30" s="32"/>
      <c r="V30" s="33"/>
      <c r="W30" s="33"/>
      <c r="X30" s="33"/>
      <c r="Y30" s="33"/>
      <c r="Z30" s="33"/>
    </row>
    <row r="31" spans="1:26" ht="14">
      <c r="A31" s="26" t="s">
        <v>147</v>
      </c>
      <c r="B31" s="30">
        <v>51.697356430017599</v>
      </c>
      <c r="C31" s="30">
        <v>96.058994921576399</v>
      </c>
      <c r="D31" s="31">
        <v>0.53818339940183502</v>
      </c>
      <c r="E31" s="31"/>
      <c r="F31" s="32">
        <v>0.15637999999999999</v>
      </c>
      <c r="G31" s="33">
        <v>1.89E-3</v>
      </c>
      <c r="H31" s="33">
        <v>9.8584399999999999</v>
      </c>
      <c r="I31" s="33">
        <v>0.1192</v>
      </c>
      <c r="J31" s="33">
        <v>0.45639000000000002</v>
      </c>
      <c r="K31" s="33">
        <v>3.47E-3</v>
      </c>
      <c r="L31" s="33"/>
      <c r="M31" s="26">
        <v>2417</v>
      </c>
      <c r="N31" s="26">
        <v>11</v>
      </c>
      <c r="O31" s="26">
        <v>2422</v>
      </c>
      <c r="P31" s="26">
        <v>11</v>
      </c>
      <c r="Q31" s="26">
        <v>2424</v>
      </c>
      <c r="R31" s="26">
        <v>15</v>
      </c>
      <c r="U31" s="32"/>
      <c r="V31" s="33"/>
      <c r="W31" s="33"/>
      <c r="X31" s="33"/>
      <c r="Y31" s="33"/>
      <c r="Z31" s="33"/>
    </row>
    <row r="32" spans="1:26" ht="14">
      <c r="A32" s="26" t="s">
        <v>148</v>
      </c>
      <c r="B32" s="30">
        <v>29.614125435725501</v>
      </c>
      <c r="C32" s="30">
        <v>49.063044623433399</v>
      </c>
      <c r="D32" s="31">
        <v>0.60359330863012195</v>
      </c>
      <c r="E32" s="31"/>
      <c r="F32" s="32">
        <v>0.16309999999999999</v>
      </c>
      <c r="G32" s="33">
        <v>2.1299999999999999E-3</v>
      </c>
      <c r="H32" s="33">
        <v>10.781510000000001</v>
      </c>
      <c r="I32" s="33">
        <v>0.15834000000000001</v>
      </c>
      <c r="J32" s="33">
        <v>0.47847000000000001</v>
      </c>
      <c r="K32" s="33">
        <v>4.8799999999999998E-3</v>
      </c>
      <c r="L32" s="33"/>
      <c r="M32" s="26">
        <v>2488</v>
      </c>
      <c r="N32" s="26">
        <v>12</v>
      </c>
      <c r="O32" s="26">
        <v>2504</v>
      </c>
      <c r="P32" s="26">
        <v>14</v>
      </c>
      <c r="Q32" s="26">
        <v>2521</v>
      </c>
      <c r="R32" s="26">
        <v>21</v>
      </c>
      <c r="U32" s="32"/>
      <c r="V32" s="33"/>
      <c r="W32" s="33"/>
      <c r="X32" s="33"/>
      <c r="Y32" s="33"/>
      <c r="Z32" s="33"/>
    </row>
    <row r="33" spans="1:26" ht="14">
      <c r="A33" s="26" t="s">
        <v>149</v>
      </c>
      <c r="B33" s="30">
        <v>17.080398823801001</v>
      </c>
      <c r="C33" s="30">
        <v>33.338296037864303</v>
      </c>
      <c r="D33" s="31">
        <v>0.51233568759488402</v>
      </c>
      <c r="E33" s="31"/>
      <c r="F33" s="32">
        <v>0.15920999999999999</v>
      </c>
      <c r="G33" s="33">
        <v>2.99E-3</v>
      </c>
      <c r="H33" s="33">
        <v>10.80255</v>
      </c>
      <c r="I33" s="33">
        <v>0.19025</v>
      </c>
      <c r="J33" s="33">
        <v>0.48014000000000001</v>
      </c>
      <c r="K33" s="33">
        <v>4.79E-3</v>
      </c>
      <c r="L33" s="33"/>
      <c r="M33" s="26">
        <v>2447</v>
      </c>
      <c r="N33" s="26">
        <v>17</v>
      </c>
      <c r="O33" s="26">
        <v>2506</v>
      </c>
      <c r="P33" s="26">
        <v>16</v>
      </c>
      <c r="Q33" s="26">
        <v>2528</v>
      </c>
      <c r="R33" s="26">
        <v>21</v>
      </c>
      <c r="U33" s="32"/>
      <c r="V33" s="33"/>
      <c r="W33" s="33"/>
      <c r="X33" s="33"/>
      <c r="Y33" s="33"/>
      <c r="Z33" s="33"/>
    </row>
    <row r="34" spans="1:26" ht="14">
      <c r="A34" s="26" t="s">
        <v>150</v>
      </c>
      <c r="B34" s="30">
        <v>12.0489270739804</v>
      </c>
      <c r="C34" s="30">
        <v>24.707668405434799</v>
      </c>
      <c r="D34" s="31">
        <v>0.48765941311281602</v>
      </c>
      <c r="E34" s="31"/>
      <c r="F34" s="32">
        <v>0.15240000000000001</v>
      </c>
      <c r="G34" s="33">
        <v>2.64E-3</v>
      </c>
      <c r="H34" s="33">
        <v>9.4631500000000006</v>
      </c>
      <c r="I34" s="33">
        <v>0.16633999999999999</v>
      </c>
      <c r="J34" s="33">
        <v>0.45090999999999998</v>
      </c>
      <c r="K34" s="33">
        <v>4.8900000000000002E-3</v>
      </c>
      <c r="L34" s="33"/>
      <c r="M34" s="26">
        <v>2373</v>
      </c>
      <c r="N34" s="26">
        <v>16</v>
      </c>
      <c r="O34" s="26">
        <v>2384</v>
      </c>
      <c r="P34" s="26">
        <v>16</v>
      </c>
      <c r="Q34" s="26">
        <v>2399</v>
      </c>
      <c r="R34" s="26">
        <v>22</v>
      </c>
      <c r="U34" s="32"/>
      <c r="V34" s="33"/>
      <c r="W34" s="33"/>
      <c r="X34" s="33"/>
      <c r="Y34" s="33"/>
      <c r="Z34" s="33"/>
    </row>
    <row r="35" spans="1:26" ht="14">
      <c r="A35" s="26" t="s">
        <v>151</v>
      </c>
      <c r="B35" s="30">
        <v>11.200158316157999</v>
      </c>
      <c r="C35" s="30">
        <v>26.685123559037901</v>
      </c>
      <c r="D35" s="31">
        <v>0.41971543775613002</v>
      </c>
      <c r="E35" s="31"/>
      <c r="F35" s="32">
        <v>0.13958999999999999</v>
      </c>
      <c r="G35" s="33">
        <v>2.6199999999999999E-3</v>
      </c>
      <c r="H35" s="33">
        <v>7.3138800000000002</v>
      </c>
      <c r="I35" s="33">
        <v>0.13261999999999999</v>
      </c>
      <c r="J35" s="33">
        <v>0.38073000000000001</v>
      </c>
      <c r="K35" s="33">
        <v>3.7499999999999999E-3</v>
      </c>
      <c r="L35" s="33"/>
      <c r="M35" s="26">
        <v>2222</v>
      </c>
      <c r="N35" s="26">
        <v>18</v>
      </c>
      <c r="O35" s="26">
        <v>2151</v>
      </c>
      <c r="P35" s="26">
        <v>16</v>
      </c>
      <c r="Q35" s="26">
        <v>2080</v>
      </c>
      <c r="R35" s="26">
        <v>17</v>
      </c>
      <c r="U35" s="32"/>
      <c r="V35" s="33"/>
      <c r="W35" s="33"/>
      <c r="X35" s="33"/>
      <c r="Y35" s="33"/>
      <c r="Z35" s="33"/>
    </row>
    <row r="36" spans="1:26" ht="14">
      <c r="A36" s="26" t="s">
        <v>152</v>
      </c>
      <c r="B36" s="30">
        <v>33.609104852052397</v>
      </c>
      <c r="C36" s="30">
        <v>53.205571863183899</v>
      </c>
      <c r="D36" s="31">
        <v>0.63168393224824104</v>
      </c>
      <c r="E36" s="31"/>
      <c r="F36" s="32">
        <v>0.15232000000000001</v>
      </c>
      <c r="G36" s="33">
        <v>3.0000000000000001E-3</v>
      </c>
      <c r="H36" s="33">
        <v>9.2581299999999995</v>
      </c>
      <c r="I36" s="33">
        <v>0.16525000000000001</v>
      </c>
      <c r="J36" s="33">
        <v>0.44083</v>
      </c>
      <c r="K36" s="33">
        <v>3.6700000000000001E-3</v>
      </c>
      <c r="L36" s="33"/>
      <c r="M36" s="26">
        <v>2372</v>
      </c>
      <c r="N36" s="26">
        <v>34</v>
      </c>
      <c r="O36" s="26">
        <v>2364</v>
      </c>
      <c r="P36" s="26">
        <v>16</v>
      </c>
      <c r="Q36" s="26">
        <v>2354</v>
      </c>
      <c r="R36" s="26">
        <v>16</v>
      </c>
      <c r="U36" s="32"/>
      <c r="V36" s="33"/>
      <c r="W36" s="33"/>
      <c r="X36" s="33"/>
      <c r="Y36" s="33"/>
      <c r="Z36" s="33"/>
    </row>
    <row r="37" spans="1:26" ht="14">
      <c r="A37" s="26" t="s">
        <v>153</v>
      </c>
      <c r="B37" s="30">
        <v>13.637589264982299</v>
      </c>
      <c r="C37" s="30">
        <v>30.547685606534099</v>
      </c>
      <c r="D37" s="31">
        <v>0.44643608817504798</v>
      </c>
      <c r="E37" s="31"/>
      <c r="F37" s="32">
        <v>0.16386999999999999</v>
      </c>
      <c r="G37" s="33">
        <v>2.4599999999999999E-3</v>
      </c>
      <c r="H37" s="33">
        <v>10.707879999999999</v>
      </c>
      <c r="I37" s="33">
        <v>0.17288000000000001</v>
      </c>
      <c r="J37" s="33">
        <v>0.47413</v>
      </c>
      <c r="K37" s="33">
        <v>4.9699999999999996E-3</v>
      </c>
      <c r="L37" s="33"/>
      <c r="M37" s="26">
        <v>2496</v>
      </c>
      <c r="N37" s="26">
        <v>14</v>
      </c>
      <c r="O37" s="26">
        <v>2498</v>
      </c>
      <c r="P37" s="26">
        <v>15</v>
      </c>
      <c r="Q37" s="26">
        <v>2502</v>
      </c>
      <c r="R37" s="26">
        <v>22</v>
      </c>
      <c r="U37" s="32"/>
      <c r="V37" s="33"/>
      <c r="W37" s="33"/>
      <c r="X37" s="33"/>
      <c r="Y37" s="33"/>
      <c r="Z37" s="33"/>
    </row>
    <row r="38" spans="1:26" ht="14">
      <c r="A38" s="26" t="s">
        <v>154</v>
      </c>
      <c r="B38" s="30">
        <v>11.604406947106799</v>
      </c>
      <c r="C38" s="30">
        <v>22.314483834102202</v>
      </c>
      <c r="D38" s="31">
        <v>0.52003922803593206</v>
      </c>
      <c r="E38" s="31"/>
      <c r="F38" s="32">
        <v>0.16861000000000001</v>
      </c>
      <c r="G38" s="33">
        <v>2.8300000000000001E-3</v>
      </c>
      <c r="H38" s="33">
        <v>10.8142</v>
      </c>
      <c r="I38" s="33">
        <v>0.18187</v>
      </c>
      <c r="J38" s="33">
        <v>0.46533999999999998</v>
      </c>
      <c r="K38" s="33">
        <v>3.7000000000000002E-3</v>
      </c>
      <c r="L38" s="33"/>
      <c r="M38" s="26">
        <v>2544</v>
      </c>
      <c r="N38" s="26">
        <v>18</v>
      </c>
      <c r="O38" s="26">
        <v>2507</v>
      </c>
      <c r="P38" s="26">
        <v>16</v>
      </c>
      <c r="Q38" s="26">
        <v>2463</v>
      </c>
      <c r="R38" s="26">
        <v>16</v>
      </c>
      <c r="U38" s="32"/>
      <c r="V38" s="33"/>
      <c r="W38" s="33"/>
      <c r="X38" s="33"/>
      <c r="Y38" s="33"/>
      <c r="Z38" s="33"/>
    </row>
    <row r="39" spans="1:26" ht="14">
      <c r="A39" s="26" t="s">
        <v>155</v>
      </c>
      <c r="B39" s="30">
        <v>12.840061261544101</v>
      </c>
      <c r="C39" s="30">
        <v>31.573476469270499</v>
      </c>
      <c r="D39" s="31">
        <v>0.40667239396462901</v>
      </c>
      <c r="E39" s="31"/>
      <c r="F39" s="32">
        <v>0.16713</v>
      </c>
      <c r="G39" s="33">
        <v>2.6700000000000001E-3</v>
      </c>
      <c r="H39" s="33">
        <v>10.90889</v>
      </c>
      <c r="I39" s="33">
        <v>0.18497</v>
      </c>
      <c r="J39" s="33">
        <v>0.47275</v>
      </c>
      <c r="K39" s="33">
        <v>4.3400000000000001E-3</v>
      </c>
      <c r="L39" s="33"/>
      <c r="M39" s="26">
        <v>2529</v>
      </c>
      <c r="N39" s="26">
        <v>16</v>
      </c>
      <c r="O39" s="26">
        <v>2515</v>
      </c>
      <c r="P39" s="26">
        <v>16</v>
      </c>
      <c r="Q39" s="26">
        <v>2496</v>
      </c>
      <c r="R39" s="26">
        <v>19</v>
      </c>
      <c r="U39" s="32"/>
      <c r="V39" s="33"/>
      <c r="W39" s="33"/>
      <c r="X39" s="33"/>
      <c r="Y39" s="33"/>
      <c r="Z39" s="33"/>
    </row>
    <row r="40" spans="1:26" ht="14">
      <c r="A40" s="26" t="s">
        <v>156</v>
      </c>
      <c r="B40" s="30">
        <v>14.977601389462601</v>
      </c>
      <c r="C40" s="30">
        <v>35.215614552796502</v>
      </c>
      <c r="D40" s="31">
        <v>0.42531137336841401</v>
      </c>
      <c r="E40" s="31"/>
      <c r="F40" s="32">
        <v>0.16827</v>
      </c>
      <c r="G40" s="33">
        <v>2.5600000000000002E-3</v>
      </c>
      <c r="H40" s="33">
        <v>11.11126</v>
      </c>
      <c r="I40" s="33">
        <v>0.16925999999999999</v>
      </c>
      <c r="J40" s="33">
        <v>0.47854999999999998</v>
      </c>
      <c r="K40" s="33">
        <v>3.7000000000000002E-3</v>
      </c>
      <c r="L40" s="33"/>
      <c r="M40" s="26">
        <v>2540</v>
      </c>
      <c r="N40" s="26">
        <v>15</v>
      </c>
      <c r="O40" s="26">
        <v>2533</v>
      </c>
      <c r="P40" s="26">
        <v>14</v>
      </c>
      <c r="Q40" s="26">
        <v>2521</v>
      </c>
      <c r="R40" s="26">
        <v>16</v>
      </c>
      <c r="U40" s="32"/>
      <c r="V40" s="33"/>
      <c r="W40" s="33"/>
      <c r="X40" s="33"/>
      <c r="Y40" s="33"/>
      <c r="Z40" s="33"/>
    </row>
    <row r="41" spans="1:26" ht="14">
      <c r="A41" s="26" t="s">
        <v>157</v>
      </c>
      <c r="B41" s="30">
        <v>18.798931423354599</v>
      </c>
      <c r="C41" s="30">
        <v>33.785140346485598</v>
      </c>
      <c r="D41" s="31">
        <v>0.55642602725816703</v>
      </c>
      <c r="E41" s="31"/>
      <c r="F41" s="32">
        <v>0.15417</v>
      </c>
      <c r="G41" s="33">
        <v>2.7899999999999999E-3</v>
      </c>
      <c r="H41" s="33">
        <v>9.1658799999999996</v>
      </c>
      <c r="I41" s="33">
        <v>0.16924</v>
      </c>
      <c r="J41" s="33">
        <v>0.43108999999999997</v>
      </c>
      <c r="K41" s="33">
        <v>4.1200000000000004E-3</v>
      </c>
      <c r="L41" s="33"/>
      <c r="M41" s="26">
        <v>2393</v>
      </c>
      <c r="N41" s="26">
        <v>19</v>
      </c>
      <c r="O41" s="26">
        <v>2355</v>
      </c>
      <c r="P41" s="26">
        <v>17</v>
      </c>
      <c r="Q41" s="26">
        <v>2311</v>
      </c>
      <c r="R41" s="26">
        <v>19</v>
      </c>
      <c r="U41" s="32"/>
      <c r="V41" s="33"/>
      <c r="W41" s="33"/>
      <c r="X41" s="33"/>
      <c r="Y41" s="33"/>
      <c r="Z41" s="33"/>
    </row>
    <row r="42" spans="1:26" ht="14">
      <c r="A42" s="26" t="s">
        <v>158</v>
      </c>
      <c r="B42" s="30">
        <v>27.200801634059498</v>
      </c>
      <c r="C42" s="30">
        <v>60.452946339946202</v>
      </c>
      <c r="D42" s="31">
        <v>0.44994997400293302</v>
      </c>
      <c r="E42" s="31"/>
      <c r="F42" s="32">
        <v>0.16491</v>
      </c>
      <c r="G42" s="33">
        <v>2.0300000000000001E-3</v>
      </c>
      <c r="H42" s="33">
        <v>10.509230000000001</v>
      </c>
      <c r="I42" s="33">
        <v>0.13478000000000001</v>
      </c>
      <c r="J42" s="33">
        <v>0.46167999999999998</v>
      </c>
      <c r="K42" s="33">
        <v>3.63E-3</v>
      </c>
      <c r="L42" s="33"/>
      <c r="M42" s="26">
        <v>2507</v>
      </c>
      <c r="N42" s="26">
        <v>12</v>
      </c>
      <c r="O42" s="26">
        <v>2481</v>
      </c>
      <c r="P42" s="26">
        <v>12</v>
      </c>
      <c r="Q42" s="26">
        <v>2447</v>
      </c>
      <c r="R42" s="26">
        <v>16</v>
      </c>
      <c r="U42" s="32"/>
      <c r="V42" s="33"/>
      <c r="W42" s="33"/>
      <c r="X42" s="33"/>
      <c r="Y42" s="33"/>
      <c r="Z42" s="33"/>
    </row>
    <row r="43" spans="1:26" ht="14">
      <c r="A43" s="26" t="s">
        <v>159</v>
      </c>
      <c r="B43" s="30">
        <v>11.056693375788999</v>
      </c>
      <c r="C43" s="30">
        <v>23.175669702882999</v>
      </c>
      <c r="D43" s="31">
        <v>0.47708193625203299</v>
      </c>
      <c r="E43" s="31"/>
      <c r="F43" s="32">
        <v>0.13122</v>
      </c>
      <c r="G43" s="33">
        <v>2.5699999999999998E-3</v>
      </c>
      <c r="H43" s="33">
        <v>6.6082799999999997</v>
      </c>
      <c r="I43" s="33">
        <v>0.13513</v>
      </c>
      <c r="J43" s="33">
        <v>0.36570000000000003</v>
      </c>
      <c r="K43" s="33">
        <v>3.8300000000000001E-3</v>
      </c>
      <c r="L43" s="33"/>
      <c r="M43" s="26">
        <v>2114</v>
      </c>
      <c r="N43" s="26">
        <v>21</v>
      </c>
      <c r="O43" s="26">
        <v>2060</v>
      </c>
      <c r="P43" s="26">
        <v>18</v>
      </c>
      <c r="Q43" s="26">
        <v>2009</v>
      </c>
      <c r="R43" s="26">
        <v>18</v>
      </c>
      <c r="U43" s="32"/>
      <c r="V43" s="33"/>
      <c r="W43" s="33"/>
      <c r="X43" s="33"/>
      <c r="Y43" s="33"/>
      <c r="Z43" s="33"/>
    </row>
    <row r="44" spans="1:26" ht="14">
      <c r="A44" s="26" t="s">
        <v>160</v>
      </c>
      <c r="B44" s="30">
        <v>47.574123859448903</v>
      </c>
      <c r="C44" s="30">
        <v>110.75168685607601</v>
      </c>
      <c r="D44" s="31">
        <v>0.42955665245327102</v>
      </c>
      <c r="E44" s="31"/>
      <c r="F44" s="32">
        <v>0.16697000000000001</v>
      </c>
      <c r="G44" s="33">
        <v>1.8699999999999999E-3</v>
      </c>
      <c r="H44" s="33">
        <v>11.066079999999999</v>
      </c>
      <c r="I44" s="33">
        <v>0.14332</v>
      </c>
      <c r="J44" s="33">
        <v>0.47894999999999999</v>
      </c>
      <c r="K44" s="33">
        <v>3.4399999999999999E-3</v>
      </c>
      <c r="L44" s="33"/>
      <c r="M44" s="26">
        <v>2528</v>
      </c>
      <c r="N44" s="26">
        <v>12</v>
      </c>
      <c r="O44" s="26">
        <v>2529</v>
      </c>
      <c r="P44" s="26">
        <v>12</v>
      </c>
      <c r="Q44" s="26">
        <v>2523</v>
      </c>
      <c r="R44" s="26">
        <v>15</v>
      </c>
    </row>
    <row r="45" spans="1:26" ht="14">
      <c r="A45" s="26" t="s">
        <v>161</v>
      </c>
      <c r="B45" s="30">
        <v>11.9131135293</v>
      </c>
      <c r="C45" s="30">
        <v>25.396297201821401</v>
      </c>
      <c r="D45" s="31">
        <v>0.46908860117000101</v>
      </c>
      <c r="E45" s="31"/>
      <c r="F45" s="32">
        <v>0.16309000000000001</v>
      </c>
      <c r="G45" s="33">
        <v>2.7399999999999998E-3</v>
      </c>
      <c r="H45" s="33">
        <v>10.46184</v>
      </c>
      <c r="I45" s="33">
        <v>0.17716999999999999</v>
      </c>
      <c r="J45" s="33">
        <v>0.46592</v>
      </c>
      <c r="K45" s="33">
        <v>4.9300000000000004E-3</v>
      </c>
      <c r="L45" s="33"/>
      <c r="M45" s="26">
        <v>2488</v>
      </c>
      <c r="N45" s="26">
        <v>15</v>
      </c>
      <c r="O45" s="26">
        <v>2477</v>
      </c>
      <c r="P45" s="26">
        <v>16</v>
      </c>
      <c r="Q45" s="26">
        <v>2466</v>
      </c>
      <c r="R45" s="26">
        <v>22</v>
      </c>
    </row>
    <row r="46" spans="1:26" ht="14">
      <c r="A46" s="26" t="s">
        <v>162</v>
      </c>
      <c r="B46" s="30">
        <v>41.924004414149003</v>
      </c>
      <c r="C46" s="30">
        <v>90.639292214938806</v>
      </c>
      <c r="D46" s="31">
        <v>0.46253675850349701</v>
      </c>
      <c r="E46" s="31"/>
      <c r="F46" s="32">
        <v>0.16705</v>
      </c>
      <c r="G46" s="33">
        <v>2.1099999999999999E-3</v>
      </c>
      <c r="H46" s="33">
        <v>10.80579</v>
      </c>
      <c r="I46" s="33">
        <v>0.1467</v>
      </c>
      <c r="J46" s="33">
        <v>0.46795999999999999</v>
      </c>
      <c r="K46" s="33">
        <v>3.5100000000000001E-3</v>
      </c>
      <c r="L46" s="33"/>
      <c r="M46" s="26">
        <v>2528</v>
      </c>
      <c r="N46" s="26">
        <v>13</v>
      </c>
      <c r="O46" s="26">
        <v>2507</v>
      </c>
      <c r="P46" s="26">
        <v>13</v>
      </c>
      <c r="Q46" s="26">
        <v>2475</v>
      </c>
      <c r="R46" s="26">
        <v>15</v>
      </c>
    </row>
    <row r="47" spans="1:26" ht="17" customHeight="1">
      <c r="A47" s="19" t="s">
        <v>254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</row>
    <row r="48" spans="1:26" ht="14">
      <c r="A48" s="26" t="s">
        <v>236</v>
      </c>
      <c r="B48" s="30">
        <v>48.03</v>
      </c>
      <c r="C48" s="30">
        <v>84.37</v>
      </c>
      <c r="D48" s="31">
        <v>0.56927817944767101</v>
      </c>
      <c r="E48" s="31"/>
      <c r="F48" s="32">
        <v>0.17166000000000001</v>
      </c>
      <c r="G48" s="33">
        <v>8.3099999999999997E-3</v>
      </c>
      <c r="H48" s="33">
        <v>10.62599</v>
      </c>
      <c r="I48" s="33">
        <v>0.51556999999999997</v>
      </c>
      <c r="J48" s="33">
        <v>0.44856000000000001</v>
      </c>
      <c r="K48" s="33">
        <v>5.7400000000000003E-3</v>
      </c>
      <c r="L48" s="33"/>
      <c r="M48" s="26">
        <v>2574</v>
      </c>
      <c r="N48" s="26">
        <v>64</v>
      </c>
      <c r="O48" s="26">
        <v>2491</v>
      </c>
      <c r="P48" s="26">
        <v>45</v>
      </c>
      <c r="Q48" s="26">
        <v>2389</v>
      </c>
      <c r="R48" s="26">
        <v>26</v>
      </c>
    </row>
    <row r="49" spans="1:18" ht="14">
      <c r="A49" s="26" t="s">
        <v>212</v>
      </c>
      <c r="B49" s="30">
        <v>119.75</v>
      </c>
      <c r="C49" s="30">
        <v>255.26</v>
      </c>
      <c r="D49" s="31">
        <v>0.46912951500430933</v>
      </c>
      <c r="E49" s="31"/>
      <c r="F49" s="32">
        <v>0.16983000000000001</v>
      </c>
      <c r="G49" s="33">
        <v>8.0499999999999999E-3</v>
      </c>
      <c r="H49" s="33">
        <v>9.7722099999999994</v>
      </c>
      <c r="I49" s="33">
        <v>0.46387</v>
      </c>
      <c r="J49" s="33">
        <v>0.41694999999999999</v>
      </c>
      <c r="K49" s="33">
        <v>5.0400000000000002E-3</v>
      </c>
      <c r="L49" s="33"/>
      <c r="M49" s="26">
        <v>2556</v>
      </c>
      <c r="N49" s="26">
        <v>63</v>
      </c>
      <c r="O49" s="26">
        <v>2414</v>
      </c>
      <c r="P49" s="26">
        <v>44</v>
      </c>
      <c r="Q49" s="26">
        <v>2247</v>
      </c>
      <c r="R49" s="26">
        <v>23</v>
      </c>
    </row>
    <row r="50" spans="1:18" ht="14">
      <c r="A50" s="26" t="s">
        <v>213</v>
      </c>
      <c r="B50" s="30">
        <v>3.82</v>
      </c>
      <c r="C50" s="30">
        <v>55.59</v>
      </c>
      <c r="D50" s="31">
        <v>6.8717395214966712E-2</v>
      </c>
      <c r="E50" s="31"/>
      <c r="F50" s="32">
        <v>0.16428999999999999</v>
      </c>
      <c r="G50" s="33">
        <v>8.6199999999999992E-3</v>
      </c>
      <c r="H50" s="33">
        <v>9.95261</v>
      </c>
      <c r="I50" s="33">
        <v>0.52414000000000005</v>
      </c>
      <c r="J50" s="33">
        <v>0.43898999999999999</v>
      </c>
      <c r="K50" s="33">
        <v>6.3400000000000001E-3</v>
      </c>
      <c r="L50" s="33"/>
      <c r="M50" s="26">
        <v>2500</v>
      </c>
      <c r="N50" s="26">
        <v>69</v>
      </c>
      <c r="O50" s="26">
        <v>2430</v>
      </c>
      <c r="P50" s="26">
        <v>49</v>
      </c>
      <c r="Q50" s="26">
        <v>2346</v>
      </c>
      <c r="R50" s="26">
        <v>28</v>
      </c>
    </row>
    <row r="51" spans="1:18" ht="14">
      <c r="A51" s="26" t="s">
        <v>214</v>
      </c>
      <c r="B51" s="30">
        <v>153.03</v>
      </c>
      <c r="C51" s="30">
        <v>497.16</v>
      </c>
      <c r="D51" s="31">
        <v>0.30780835143615737</v>
      </c>
      <c r="E51" s="31"/>
      <c r="F51" s="32">
        <v>0.16275000000000001</v>
      </c>
      <c r="G51" s="33">
        <v>7.77E-3</v>
      </c>
      <c r="H51" s="33">
        <v>10.406330000000001</v>
      </c>
      <c r="I51" s="33">
        <v>0.49764000000000003</v>
      </c>
      <c r="J51" s="33">
        <v>0.46331</v>
      </c>
      <c r="K51" s="33">
        <v>5.5599999999999998E-3</v>
      </c>
      <c r="L51" s="33"/>
      <c r="M51" s="26">
        <v>2484</v>
      </c>
      <c r="N51" s="26">
        <v>65</v>
      </c>
      <c r="O51" s="26">
        <v>2472</v>
      </c>
      <c r="P51" s="26">
        <v>44</v>
      </c>
      <c r="Q51" s="26">
        <v>2454</v>
      </c>
      <c r="R51" s="26">
        <v>24</v>
      </c>
    </row>
    <row r="52" spans="1:18" ht="14">
      <c r="A52" s="26" t="s">
        <v>215</v>
      </c>
      <c r="B52" s="30">
        <v>123.42</v>
      </c>
      <c r="C52" s="30">
        <v>419.18</v>
      </c>
      <c r="D52" s="31">
        <v>0.29443198625888639</v>
      </c>
      <c r="E52" s="31"/>
      <c r="F52" s="32">
        <v>0.16228999999999999</v>
      </c>
      <c r="G52" s="33">
        <v>7.77E-3</v>
      </c>
      <c r="H52" s="33">
        <v>9.3666599999999995</v>
      </c>
      <c r="I52" s="33">
        <v>0.44935000000000003</v>
      </c>
      <c r="J52" s="33">
        <v>0.41820000000000002</v>
      </c>
      <c r="K52" s="33">
        <v>5.0099999999999997E-3</v>
      </c>
      <c r="L52" s="33"/>
      <c r="M52" s="26">
        <v>2480</v>
      </c>
      <c r="N52" s="26">
        <v>65</v>
      </c>
      <c r="O52" s="26">
        <v>2375</v>
      </c>
      <c r="P52" s="26">
        <v>44</v>
      </c>
      <c r="Q52" s="26">
        <v>2252</v>
      </c>
      <c r="R52" s="26">
        <v>23</v>
      </c>
    </row>
    <row r="53" spans="1:18" ht="14">
      <c r="A53" s="26" t="s">
        <v>216</v>
      </c>
      <c r="B53" s="30">
        <v>40.57</v>
      </c>
      <c r="C53" s="30">
        <v>76.680000000000007</v>
      </c>
      <c r="D53" s="31">
        <v>0.52908189880020862</v>
      </c>
      <c r="E53" s="31"/>
      <c r="F53" s="32">
        <v>0.17229</v>
      </c>
      <c r="G53" s="33">
        <v>8.6999999999999994E-3</v>
      </c>
      <c r="H53" s="33">
        <v>11.14523</v>
      </c>
      <c r="I53" s="33">
        <v>0.56484999999999996</v>
      </c>
      <c r="J53" s="33">
        <v>0.46873999999999999</v>
      </c>
      <c r="K53" s="33">
        <v>6.2700000000000004E-3</v>
      </c>
      <c r="L53" s="33"/>
      <c r="M53" s="26">
        <v>2580</v>
      </c>
      <c r="N53" s="26">
        <v>67</v>
      </c>
      <c r="O53" s="26">
        <v>2535</v>
      </c>
      <c r="P53" s="26">
        <v>47</v>
      </c>
      <c r="Q53" s="26">
        <v>2478</v>
      </c>
      <c r="R53" s="26">
        <v>28</v>
      </c>
    </row>
    <row r="54" spans="1:18" ht="14">
      <c r="A54" s="26" t="s">
        <v>217</v>
      </c>
      <c r="B54" s="30">
        <v>6.07</v>
      </c>
      <c r="C54" s="30">
        <v>55.39</v>
      </c>
      <c r="D54" s="31">
        <v>0.10958656797255822</v>
      </c>
      <c r="E54" s="31"/>
      <c r="F54" s="32">
        <v>0.16300999999999999</v>
      </c>
      <c r="G54" s="33">
        <v>8.4600000000000005E-3</v>
      </c>
      <c r="H54" s="33">
        <v>9.6240199999999998</v>
      </c>
      <c r="I54" s="33">
        <v>0.50168000000000001</v>
      </c>
      <c r="J54" s="33">
        <v>0.42780000000000001</v>
      </c>
      <c r="K54" s="33">
        <v>5.9100000000000003E-3</v>
      </c>
      <c r="L54" s="33"/>
      <c r="M54" s="26">
        <v>2487</v>
      </c>
      <c r="N54" s="26">
        <v>69</v>
      </c>
      <c r="O54" s="26">
        <v>2399</v>
      </c>
      <c r="P54" s="26">
        <v>48</v>
      </c>
      <c r="Q54" s="26">
        <v>2296</v>
      </c>
      <c r="R54" s="26">
        <v>27</v>
      </c>
    </row>
    <row r="55" spans="1:18" ht="14">
      <c r="A55" s="26" t="s">
        <v>218</v>
      </c>
      <c r="B55" s="30">
        <v>45.96</v>
      </c>
      <c r="C55" s="30">
        <v>253.99</v>
      </c>
      <c r="D55" s="31">
        <v>0.18095200598448757</v>
      </c>
      <c r="E55" s="31"/>
      <c r="F55" s="32">
        <v>0.16403999999999999</v>
      </c>
      <c r="G55" s="33">
        <v>8.1300000000000001E-3</v>
      </c>
      <c r="H55" s="33">
        <v>10.742419999999999</v>
      </c>
      <c r="I55" s="33">
        <v>0.53403999999999996</v>
      </c>
      <c r="J55" s="33">
        <v>0.47450999999999999</v>
      </c>
      <c r="K55" s="33">
        <v>6.0299999999999998E-3</v>
      </c>
      <c r="L55" s="33"/>
      <c r="M55" s="26">
        <v>2498</v>
      </c>
      <c r="N55" s="26">
        <v>67</v>
      </c>
      <c r="O55" s="26">
        <v>2501</v>
      </c>
      <c r="P55" s="26">
        <v>46</v>
      </c>
      <c r="Q55" s="26">
        <v>2503</v>
      </c>
      <c r="R55" s="26">
        <v>26</v>
      </c>
    </row>
    <row r="56" spans="1:18" ht="14">
      <c r="A56" s="26" t="s">
        <v>219</v>
      </c>
      <c r="B56" s="30">
        <v>20.51</v>
      </c>
      <c r="C56" s="30">
        <v>48.17</v>
      </c>
      <c r="D56" s="31">
        <v>0.42578368279011836</v>
      </c>
      <c r="E56" s="31"/>
      <c r="F56" s="32">
        <v>0.17019999999999999</v>
      </c>
      <c r="G56" s="33">
        <v>9.1900000000000003E-3</v>
      </c>
      <c r="H56" s="33">
        <v>11.463010000000001</v>
      </c>
      <c r="I56" s="33">
        <v>0.62251999999999996</v>
      </c>
      <c r="J56" s="33">
        <v>0.48802000000000001</v>
      </c>
      <c r="K56" s="33">
        <v>7.2300000000000003E-3</v>
      </c>
      <c r="L56" s="33"/>
      <c r="M56" s="26">
        <v>2560</v>
      </c>
      <c r="N56" s="26">
        <v>71</v>
      </c>
      <c r="O56" s="26">
        <v>2562</v>
      </c>
      <c r="P56" s="26">
        <v>51</v>
      </c>
      <c r="Q56" s="26">
        <v>2562</v>
      </c>
      <c r="R56" s="26">
        <v>31</v>
      </c>
    </row>
    <row r="57" spans="1:18" ht="14">
      <c r="A57" s="26" t="s">
        <v>220</v>
      </c>
      <c r="B57" s="30">
        <v>8.84</v>
      </c>
      <c r="C57" s="30">
        <v>76.17</v>
      </c>
      <c r="D57" s="31">
        <v>0.11605619010108967</v>
      </c>
      <c r="E57" s="31"/>
      <c r="F57" s="32">
        <v>0.16385</v>
      </c>
      <c r="G57" s="33">
        <v>8.3999999999999995E-3</v>
      </c>
      <c r="H57" s="33">
        <v>10.71003</v>
      </c>
      <c r="I57" s="33">
        <v>0.55166999999999999</v>
      </c>
      <c r="J57" s="33">
        <v>0.47363</v>
      </c>
      <c r="K57" s="33">
        <v>6.2700000000000004E-3</v>
      </c>
      <c r="L57" s="33"/>
      <c r="M57" s="26">
        <v>2496</v>
      </c>
      <c r="N57" s="26">
        <v>69</v>
      </c>
      <c r="O57" s="26">
        <v>2498</v>
      </c>
      <c r="P57" s="26">
        <v>48</v>
      </c>
      <c r="Q57" s="26">
        <v>2499</v>
      </c>
      <c r="R57" s="26">
        <v>27</v>
      </c>
    </row>
    <row r="58" spans="1:18" ht="14">
      <c r="A58" s="26" t="s">
        <v>221</v>
      </c>
      <c r="B58" s="30">
        <v>91.33</v>
      </c>
      <c r="C58" s="30">
        <v>117.92</v>
      </c>
      <c r="D58" s="31">
        <v>0.77450814111261868</v>
      </c>
      <c r="E58" s="31"/>
      <c r="F58" s="32">
        <v>0.16791</v>
      </c>
      <c r="G58" s="33">
        <v>8.5599999999999999E-3</v>
      </c>
      <c r="H58" s="33">
        <v>10.21879</v>
      </c>
      <c r="I58" s="33">
        <v>0.52314000000000005</v>
      </c>
      <c r="J58" s="33">
        <v>0.44095000000000001</v>
      </c>
      <c r="K58" s="33">
        <v>5.7299999999999999E-3</v>
      </c>
      <c r="L58" s="33"/>
      <c r="M58" s="26">
        <v>2537</v>
      </c>
      <c r="N58" s="26">
        <v>69</v>
      </c>
      <c r="O58" s="26">
        <v>2455</v>
      </c>
      <c r="P58" s="26">
        <v>47</v>
      </c>
      <c r="Q58" s="26">
        <v>2355</v>
      </c>
      <c r="R58" s="26">
        <v>26</v>
      </c>
    </row>
    <row r="59" spans="1:18" ht="14">
      <c r="A59" s="26" t="s">
        <v>222</v>
      </c>
      <c r="B59" s="30">
        <v>12.68</v>
      </c>
      <c r="C59" s="30">
        <v>111.63</v>
      </c>
      <c r="D59" s="31">
        <v>0.11358953686285049</v>
      </c>
      <c r="E59" s="31"/>
      <c r="F59" s="32">
        <v>0.16549</v>
      </c>
      <c r="G59" s="33">
        <v>8.4499999999999992E-3</v>
      </c>
      <c r="H59" s="33">
        <v>10.8864</v>
      </c>
      <c r="I59" s="33">
        <v>0.55820000000000003</v>
      </c>
      <c r="J59" s="33">
        <v>0.47661999999999999</v>
      </c>
      <c r="K59" s="33">
        <v>6.1999999999999998E-3</v>
      </c>
      <c r="L59" s="33"/>
      <c r="M59" s="26">
        <v>2513</v>
      </c>
      <c r="N59" s="26">
        <v>69</v>
      </c>
      <c r="O59" s="26">
        <v>2513</v>
      </c>
      <c r="P59" s="26">
        <v>48</v>
      </c>
      <c r="Q59" s="26">
        <v>2513</v>
      </c>
      <c r="R59" s="26">
        <v>27</v>
      </c>
    </row>
    <row r="60" spans="1:18" ht="14">
      <c r="A60" s="26" t="s">
        <v>223</v>
      </c>
      <c r="B60" s="30">
        <v>168.9</v>
      </c>
      <c r="C60" s="30">
        <v>497.83</v>
      </c>
      <c r="D60" s="31">
        <v>0.33927244240001608</v>
      </c>
      <c r="E60" s="31"/>
      <c r="F60" s="32">
        <v>0.16381999999999999</v>
      </c>
      <c r="G60" s="33">
        <v>8.1399999999999997E-3</v>
      </c>
      <c r="H60" s="33">
        <v>9.8783999999999992</v>
      </c>
      <c r="I60" s="33">
        <v>0.49252000000000001</v>
      </c>
      <c r="J60" s="33">
        <v>0.43691000000000002</v>
      </c>
      <c r="K60" s="33">
        <v>5.3099999999999996E-3</v>
      </c>
      <c r="L60" s="33"/>
      <c r="M60" s="26">
        <v>2495</v>
      </c>
      <c r="N60" s="26">
        <v>68</v>
      </c>
      <c r="O60" s="26">
        <v>2423</v>
      </c>
      <c r="P60" s="26">
        <v>46</v>
      </c>
      <c r="Q60" s="26">
        <v>2337</v>
      </c>
      <c r="R60" s="26">
        <v>24</v>
      </c>
    </row>
    <row r="61" spans="1:18" ht="14">
      <c r="A61" s="26" t="s">
        <v>224</v>
      </c>
      <c r="B61" s="30">
        <v>138.24</v>
      </c>
      <c r="C61" s="30">
        <v>480.82</v>
      </c>
      <c r="D61" s="31">
        <v>0.28750883906659458</v>
      </c>
      <c r="E61" s="31"/>
      <c r="F61" s="32">
        <v>0.16070999999999999</v>
      </c>
      <c r="G61" s="33">
        <v>8.0499999999999999E-3</v>
      </c>
      <c r="H61" s="33">
        <v>9.8558599999999998</v>
      </c>
      <c r="I61" s="33">
        <v>0.49542999999999998</v>
      </c>
      <c r="J61" s="33">
        <v>0.44434000000000001</v>
      </c>
      <c r="K61" s="33">
        <v>5.4200000000000003E-3</v>
      </c>
      <c r="L61" s="33"/>
      <c r="M61" s="26">
        <v>2463</v>
      </c>
      <c r="N61" s="26">
        <v>69</v>
      </c>
      <c r="O61" s="26">
        <v>2421</v>
      </c>
      <c r="P61" s="26">
        <v>46</v>
      </c>
      <c r="Q61" s="26">
        <v>2370</v>
      </c>
      <c r="R61" s="26">
        <v>24</v>
      </c>
    </row>
    <row r="62" spans="1:18" ht="14">
      <c r="A62" s="26" t="s">
        <v>225</v>
      </c>
      <c r="B62" s="30">
        <v>4.6900000000000004</v>
      </c>
      <c r="C62" s="30">
        <v>35.700000000000003</v>
      </c>
      <c r="D62" s="31">
        <v>0.13137254901960785</v>
      </c>
      <c r="E62" s="31"/>
      <c r="F62" s="32">
        <v>0.16691</v>
      </c>
      <c r="G62" s="33">
        <v>9.9500000000000005E-3</v>
      </c>
      <c r="H62" s="33">
        <v>11.05</v>
      </c>
      <c r="I62" s="33">
        <v>0.66449000000000003</v>
      </c>
      <c r="J62" s="33">
        <v>0.47965999999999998</v>
      </c>
      <c r="K62" s="33">
        <v>8.2100000000000003E-3</v>
      </c>
      <c r="L62" s="33"/>
      <c r="M62" s="26">
        <v>2527</v>
      </c>
      <c r="N62" s="26">
        <v>78</v>
      </c>
      <c r="O62" s="26">
        <v>2527</v>
      </c>
      <c r="P62" s="26">
        <v>56</v>
      </c>
      <c r="Q62" s="26">
        <v>2526</v>
      </c>
      <c r="R62" s="26">
        <v>36</v>
      </c>
    </row>
    <row r="63" spans="1:18" ht="14">
      <c r="A63" s="26" t="s">
        <v>226</v>
      </c>
      <c r="B63" s="30">
        <v>3.13</v>
      </c>
      <c r="C63" s="30">
        <v>38.18</v>
      </c>
      <c r="D63" s="31">
        <v>8.1980094290204295E-2</v>
      </c>
      <c r="E63" s="31"/>
      <c r="F63" s="32">
        <v>0.16017999999999999</v>
      </c>
      <c r="G63" s="33">
        <v>9.11E-3</v>
      </c>
      <c r="H63" s="33">
        <v>10.26164</v>
      </c>
      <c r="I63" s="33">
        <v>0.58747000000000005</v>
      </c>
      <c r="J63" s="33">
        <v>0.46417000000000003</v>
      </c>
      <c r="K63" s="33">
        <v>7.1799999999999998E-3</v>
      </c>
      <c r="L63" s="33"/>
      <c r="M63" s="26">
        <v>2458</v>
      </c>
      <c r="N63" s="26">
        <v>76</v>
      </c>
      <c r="O63" s="26">
        <v>2459</v>
      </c>
      <c r="P63" s="26">
        <v>53</v>
      </c>
      <c r="Q63" s="26">
        <v>2458</v>
      </c>
      <c r="R63" s="26">
        <v>32</v>
      </c>
    </row>
    <row r="64" spans="1:18" ht="15" thickBot="1">
      <c r="A64" s="40" t="s">
        <v>227</v>
      </c>
      <c r="B64" s="41">
        <v>580.32000000000005</v>
      </c>
      <c r="C64" s="41">
        <v>513.6</v>
      </c>
      <c r="D64" s="42">
        <v>1.1299065420560748</v>
      </c>
      <c r="E64" s="42"/>
      <c r="F64" s="43">
        <v>0.17005000000000001</v>
      </c>
      <c r="G64" s="44">
        <v>8.6E-3</v>
      </c>
      <c r="H64" s="44">
        <v>10.38461</v>
      </c>
      <c r="I64" s="44">
        <v>0.52778999999999998</v>
      </c>
      <c r="J64" s="44">
        <v>0.44246000000000002</v>
      </c>
      <c r="K64" s="44">
        <v>5.4299999999999999E-3</v>
      </c>
      <c r="L64" s="44"/>
      <c r="M64" s="40">
        <v>2558</v>
      </c>
      <c r="N64" s="40">
        <v>69</v>
      </c>
      <c r="O64" s="40">
        <v>2470</v>
      </c>
      <c r="P64" s="40">
        <v>47</v>
      </c>
      <c r="Q64" s="40">
        <v>2362</v>
      </c>
      <c r="R64" s="40">
        <v>24</v>
      </c>
    </row>
    <row r="66" spans="1:12" s="9" customFormat="1" ht="15">
      <c r="A66" s="108" t="s">
        <v>394</v>
      </c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59"/>
    </row>
    <row r="67" spans="1:12" s="9" customFormat="1">
      <c r="A67" s="59"/>
      <c r="B67" s="60"/>
      <c r="C67" s="60"/>
      <c r="D67" s="59"/>
      <c r="E67" s="59"/>
      <c r="F67" s="59"/>
      <c r="G67" s="59"/>
      <c r="H67" s="59"/>
      <c r="I67" s="59"/>
      <c r="J67" s="59"/>
      <c r="K67" s="59"/>
      <c r="L67" s="59"/>
    </row>
    <row r="68" spans="1:12" s="9" customFormat="1">
      <c r="A68" s="61" t="s">
        <v>29</v>
      </c>
      <c r="B68" s="62"/>
      <c r="C68" s="62"/>
    </row>
    <row r="69" spans="1:12" s="9" customFormat="1" ht="15">
      <c r="A69" s="109" t="s">
        <v>395</v>
      </c>
      <c r="B69" s="109"/>
      <c r="C69" s="109"/>
      <c r="D69" s="109"/>
      <c r="E69" s="109"/>
      <c r="F69" s="109"/>
      <c r="G69" s="109"/>
      <c r="H69" s="109"/>
      <c r="I69" s="109"/>
      <c r="J69" s="109"/>
    </row>
  </sheetData>
  <mergeCells count="7">
    <mergeCell ref="A66:K66"/>
    <mergeCell ref="A69:J69"/>
    <mergeCell ref="A2:A3"/>
    <mergeCell ref="D2:D3"/>
    <mergeCell ref="A1:R1"/>
    <mergeCell ref="F2:K2"/>
    <mergeCell ref="M2:R2"/>
  </mergeCells>
  <phoneticPr fontId="1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94"/>
  <sheetViews>
    <sheetView zoomScale="83" workbookViewId="0">
      <pane xSplit="1" ySplit="2" topLeftCell="B3" activePane="bottomRight" state="frozen"/>
      <selection pane="topRight"/>
      <selection pane="bottomLeft"/>
      <selection pane="bottomRight" activeCell="E13" sqref="E13"/>
    </sheetView>
  </sheetViews>
  <sheetFormatPr baseColWidth="10" defaultColWidth="10.83203125" defaultRowHeight="13"/>
  <cols>
    <col min="1" max="1" width="19.83203125" style="2" customWidth="1"/>
    <col min="2" max="6" width="10.83203125" style="2"/>
    <col min="7" max="7" width="10.83203125" style="6"/>
    <col min="8" max="16384" width="10.83203125" style="2"/>
  </cols>
  <sheetData>
    <row r="1" spans="1:15" s="1" customFormat="1" ht="14" thickBot="1">
      <c r="A1" s="114" t="s">
        <v>166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</row>
    <row r="2" spans="1:15" ht="36" customHeight="1" thickBot="1">
      <c r="A2" s="18" t="s">
        <v>120</v>
      </c>
      <c r="B2" s="13" t="s">
        <v>55</v>
      </c>
      <c r="C2" s="13" t="s">
        <v>56</v>
      </c>
      <c r="D2" s="13" t="s">
        <v>57</v>
      </c>
      <c r="E2" s="13" t="s">
        <v>58</v>
      </c>
      <c r="F2" s="13" t="s">
        <v>59</v>
      </c>
      <c r="G2" s="13" t="s">
        <v>60</v>
      </c>
      <c r="H2" s="13" t="s">
        <v>61</v>
      </c>
      <c r="I2" s="13" t="s">
        <v>62</v>
      </c>
      <c r="J2" s="13" t="s">
        <v>63</v>
      </c>
      <c r="K2" s="13" t="s">
        <v>64</v>
      </c>
      <c r="L2" s="13" t="s">
        <v>65</v>
      </c>
      <c r="M2" s="13" t="s">
        <v>66</v>
      </c>
      <c r="N2" s="13" t="s">
        <v>67</v>
      </c>
      <c r="O2" s="13" t="s">
        <v>68</v>
      </c>
    </row>
    <row r="3" spans="1:15" s="23" customFormat="1">
      <c r="A3" s="115" t="s">
        <v>194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</row>
    <row r="4" spans="1:15">
      <c r="A4" s="6" t="s">
        <v>195</v>
      </c>
      <c r="B4" s="6">
        <v>7.9000000000000001E-2</v>
      </c>
      <c r="C4" s="6">
        <v>3.92</v>
      </c>
      <c r="D4" s="6">
        <v>0.187</v>
      </c>
      <c r="E4" s="6">
        <v>2.77</v>
      </c>
      <c r="F4" s="6">
        <v>4.22</v>
      </c>
      <c r="G4" s="6">
        <v>1.0209999999999999</v>
      </c>
      <c r="H4" s="6">
        <v>22.78</v>
      </c>
      <c r="I4" s="6">
        <v>8.25</v>
      </c>
      <c r="J4" s="6">
        <v>99.57</v>
      </c>
      <c r="K4" s="6">
        <v>38.33</v>
      </c>
      <c r="L4" s="6">
        <v>169.63</v>
      </c>
      <c r="M4" s="6">
        <v>36.9</v>
      </c>
      <c r="N4" s="6">
        <v>355.47</v>
      </c>
      <c r="O4" s="6">
        <v>70.03</v>
      </c>
    </row>
    <row r="5" spans="1:15">
      <c r="A5" s="6" t="s">
        <v>196</v>
      </c>
      <c r="B5" s="6">
        <v>6.7000000000000004E-2</v>
      </c>
      <c r="C5" s="6">
        <v>3.62</v>
      </c>
      <c r="D5" s="6">
        <v>7.9000000000000001E-2</v>
      </c>
      <c r="E5" s="6">
        <v>1.65</v>
      </c>
      <c r="F5" s="6">
        <v>1.91</v>
      </c>
      <c r="G5" s="6">
        <v>0.504</v>
      </c>
      <c r="H5" s="6">
        <v>10.01</v>
      </c>
      <c r="I5" s="6">
        <v>2.89</v>
      </c>
      <c r="J5" s="6">
        <v>31.86</v>
      </c>
      <c r="K5" s="6">
        <v>11.24</v>
      </c>
      <c r="L5" s="6">
        <v>48.18</v>
      </c>
      <c r="M5" s="6">
        <v>10.1</v>
      </c>
      <c r="N5" s="6">
        <v>98.04</v>
      </c>
      <c r="O5" s="6">
        <v>19.100000000000001</v>
      </c>
    </row>
    <row r="6" spans="1:15">
      <c r="A6" s="6" t="s">
        <v>207</v>
      </c>
      <c r="B6" s="6">
        <v>8.2000000000000003E-2</v>
      </c>
      <c r="C6" s="6">
        <v>4.6900000000000004</v>
      </c>
      <c r="D6" s="6">
        <v>0.19</v>
      </c>
      <c r="E6" s="6">
        <v>3.27</v>
      </c>
      <c r="F6" s="6">
        <v>5.38</v>
      </c>
      <c r="G6" s="6">
        <v>1.1359999999999999</v>
      </c>
      <c r="H6" s="6">
        <v>25.64</v>
      </c>
      <c r="I6" s="6">
        <v>9.19</v>
      </c>
      <c r="J6" s="6">
        <v>109.18</v>
      </c>
      <c r="K6" s="6">
        <v>43.26</v>
      </c>
      <c r="L6" s="6">
        <v>189.57</v>
      </c>
      <c r="M6" s="6">
        <v>40.659999999999997</v>
      </c>
      <c r="N6" s="6">
        <v>391.95</v>
      </c>
      <c r="O6" s="6">
        <v>74.819999999999993</v>
      </c>
    </row>
    <row r="7" spans="1:15">
      <c r="A7" s="6" t="s">
        <v>208</v>
      </c>
      <c r="B7" s="6">
        <v>5.8999999999999997E-2</v>
      </c>
      <c r="C7" s="6">
        <v>3.26</v>
      </c>
      <c r="D7" s="6">
        <v>4.5999999999999999E-2</v>
      </c>
      <c r="E7" s="6">
        <v>0.92</v>
      </c>
      <c r="F7" s="6">
        <v>1.19</v>
      </c>
      <c r="G7" s="6">
        <v>0.23799999999999999</v>
      </c>
      <c r="H7" s="6">
        <v>7.52</v>
      </c>
      <c r="I7" s="6">
        <v>2.29</v>
      </c>
      <c r="J7" s="6">
        <v>23.84</v>
      </c>
      <c r="K7" s="6">
        <v>9.2799999999999994</v>
      </c>
      <c r="L7" s="6">
        <v>39.82</v>
      </c>
      <c r="M7" s="6">
        <v>8.65</v>
      </c>
      <c r="N7" s="6">
        <v>86.5</v>
      </c>
      <c r="O7" s="6">
        <v>15.9</v>
      </c>
    </row>
    <row r="8" spans="1:15">
      <c r="A8" s="6" t="s">
        <v>199</v>
      </c>
      <c r="B8" s="6">
        <v>4.2000000000000003E-2</v>
      </c>
      <c r="C8" s="6">
        <v>2.9</v>
      </c>
      <c r="D8" s="6">
        <v>2.3300000000000001E-2</v>
      </c>
      <c r="E8" s="6">
        <v>0.39</v>
      </c>
      <c r="F8" s="6">
        <v>0.36</v>
      </c>
      <c r="G8" s="6">
        <v>0.19900000000000001</v>
      </c>
      <c r="H8" s="6">
        <v>2.04</v>
      </c>
      <c r="I8" s="6">
        <v>0.70399999999999996</v>
      </c>
      <c r="J8" s="6">
        <v>8.5399999999999991</v>
      </c>
      <c r="K8" s="6">
        <v>3.35</v>
      </c>
      <c r="L8" s="6">
        <v>16.2</v>
      </c>
      <c r="M8" s="6">
        <v>4.08</v>
      </c>
      <c r="N8" s="6">
        <v>43.87</v>
      </c>
      <c r="O8" s="6">
        <v>11.37</v>
      </c>
    </row>
    <row r="9" spans="1:15">
      <c r="A9" s="6" t="s">
        <v>200</v>
      </c>
      <c r="B9" s="6">
        <v>6.7000000000000004E-2</v>
      </c>
      <c r="C9" s="6">
        <v>3.31</v>
      </c>
      <c r="D9" s="6">
        <v>3.1E-2</v>
      </c>
      <c r="E9" s="6">
        <v>0.44</v>
      </c>
      <c r="F9" s="6">
        <v>1.1000000000000001</v>
      </c>
      <c r="G9" s="6">
        <v>0.32500000000000001</v>
      </c>
      <c r="H9" s="6">
        <v>6.31</v>
      </c>
      <c r="I9" s="6">
        <v>2.4300000000000002</v>
      </c>
      <c r="J9" s="6">
        <v>31.36</v>
      </c>
      <c r="K9" s="6">
        <v>12.95</v>
      </c>
      <c r="L9" s="6">
        <v>61.35</v>
      </c>
      <c r="M9" s="6">
        <v>13.91</v>
      </c>
      <c r="N9" s="6">
        <v>139.09</v>
      </c>
      <c r="O9" s="6">
        <v>28.05</v>
      </c>
    </row>
    <row r="10" spans="1:15">
      <c r="A10" s="6" t="s">
        <v>201</v>
      </c>
      <c r="B10" s="6">
        <v>5.2999999999999999E-2</v>
      </c>
      <c r="C10" s="6">
        <v>4.2699999999999996</v>
      </c>
      <c r="D10" s="6">
        <v>6.3E-2</v>
      </c>
      <c r="E10" s="6">
        <v>1.39</v>
      </c>
      <c r="F10" s="6">
        <v>2.91</v>
      </c>
      <c r="G10" s="6">
        <v>0.51400000000000001</v>
      </c>
      <c r="H10" s="6">
        <v>10.79</v>
      </c>
      <c r="I10" s="6">
        <v>3.41</v>
      </c>
      <c r="J10" s="6">
        <v>35.479999999999997</v>
      </c>
      <c r="K10" s="6">
        <v>12.46</v>
      </c>
      <c r="L10" s="6">
        <v>52.71</v>
      </c>
      <c r="M10" s="6">
        <v>11.45</v>
      </c>
      <c r="N10" s="6">
        <v>108.42</v>
      </c>
      <c r="O10" s="6">
        <v>20.239999999999998</v>
      </c>
    </row>
    <row r="11" spans="1:15">
      <c r="A11" s="6" t="s">
        <v>202</v>
      </c>
      <c r="B11" s="6">
        <v>7.5999999999999998E-2</v>
      </c>
      <c r="C11" s="6">
        <v>3.25</v>
      </c>
      <c r="D11" s="6">
        <v>5.5E-2</v>
      </c>
      <c r="E11" s="6">
        <v>0.81</v>
      </c>
      <c r="F11" s="6">
        <v>1.7</v>
      </c>
      <c r="G11" s="6">
        <v>0.41</v>
      </c>
      <c r="H11" s="6">
        <v>10.07</v>
      </c>
      <c r="I11" s="6">
        <v>3.88</v>
      </c>
      <c r="J11" s="6">
        <v>46.61</v>
      </c>
      <c r="K11" s="6">
        <v>18.79</v>
      </c>
      <c r="L11" s="6">
        <v>90.14</v>
      </c>
      <c r="M11" s="6">
        <v>19.93</v>
      </c>
      <c r="N11" s="6">
        <v>205.83</v>
      </c>
      <c r="O11" s="6">
        <v>41.21</v>
      </c>
    </row>
    <row r="12" spans="1:15">
      <c r="A12" s="6" t="s">
        <v>203</v>
      </c>
      <c r="B12" s="6">
        <v>8.6999999999999994E-2</v>
      </c>
      <c r="C12" s="6">
        <v>5.69</v>
      </c>
      <c r="D12" s="6">
        <v>0.14399999999999999</v>
      </c>
      <c r="E12" s="6">
        <v>2.64</v>
      </c>
      <c r="F12" s="6">
        <v>5.5</v>
      </c>
      <c r="G12" s="6">
        <v>1.1339999999999999</v>
      </c>
      <c r="H12" s="6">
        <v>26.38</v>
      </c>
      <c r="I12" s="6">
        <v>9.1199999999999992</v>
      </c>
      <c r="J12" s="6">
        <v>106.59</v>
      </c>
      <c r="K12" s="6">
        <v>42.1</v>
      </c>
      <c r="L12" s="6">
        <v>182.72</v>
      </c>
      <c r="M12" s="6">
        <v>37.97</v>
      </c>
      <c r="N12" s="6">
        <v>358.8</v>
      </c>
      <c r="O12" s="6">
        <v>69.209999999999994</v>
      </c>
    </row>
    <row r="13" spans="1:15">
      <c r="A13" s="6" t="s">
        <v>204</v>
      </c>
      <c r="B13" s="6">
        <v>7.0999999999999994E-2</v>
      </c>
      <c r="C13" s="6">
        <v>3.99</v>
      </c>
      <c r="D13" s="6">
        <v>0.05</v>
      </c>
      <c r="E13" s="6">
        <v>1.02</v>
      </c>
      <c r="F13" s="6">
        <v>1.65</v>
      </c>
      <c r="G13" s="6">
        <v>0.41699999999999998</v>
      </c>
      <c r="H13" s="6">
        <v>7.38</v>
      </c>
      <c r="I13" s="6">
        <v>2.16</v>
      </c>
      <c r="J13" s="6">
        <v>23.89</v>
      </c>
      <c r="K13" s="6">
        <v>8.65</v>
      </c>
      <c r="L13" s="6">
        <v>39.200000000000003</v>
      </c>
      <c r="M13" s="6">
        <v>9.2200000000000006</v>
      </c>
      <c r="N13" s="6">
        <v>95.67</v>
      </c>
      <c r="O13" s="6">
        <v>19.09</v>
      </c>
    </row>
    <row r="14" spans="1:15">
      <c r="A14" s="6" t="s">
        <v>205</v>
      </c>
      <c r="B14" s="6">
        <v>5.5E-2</v>
      </c>
      <c r="C14" s="6">
        <v>6.48</v>
      </c>
      <c r="D14" s="6">
        <v>0.17399999999999999</v>
      </c>
      <c r="E14" s="6">
        <v>2.6</v>
      </c>
      <c r="F14" s="6">
        <v>4.92</v>
      </c>
      <c r="G14" s="6">
        <v>1.0660000000000001</v>
      </c>
      <c r="H14" s="6">
        <v>25.06</v>
      </c>
      <c r="I14" s="6">
        <v>9.09</v>
      </c>
      <c r="J14" s="6">
        <v>108.07</v>
      </c>
      <c r="K14" s="6">
        <v>42.07</v>
      </c>
      <c r="L14" s="6">
        <v>186.49</v>
      </c>
      <c r="M14" s="6">
        <v>39.53</v>
      </c>
      <c r="N14" s="6">
        <v>386.49</v>
      </c>
      <c r="O14" s="6">
        <v>71.790000000000006</v>
      </c>
    </row>
    <row r="15" spans="1:15">
      <c r="A15" s="6" t="s">
        <v>206</v>
      </c>
      <c r="B15" s="6">
        <v>6.6000000000000003E-2</v>
      </c>
      <c r="C15" s="6">
        <v>3.41</v>
      </c>
      <c r="D15" s="6">
        <v>5.0999999999999997E-2</v>
      </c>
      <c r="E15" s="6">
        <v>0.94</v>
      </c>
      <c r="F15" s="6">
        <v>2.69</v>
      </c>
      <c r="G15" s="6">
        <v>0.56200000000000006</v>
      </c>
      <c r="H15" s="6">
        <v>14.27</v>
      </c>
      <c r="I15" s="6">
        <v>5.25</v>
      </c>
      <c r="J15" s="6">
        <v>62.97</v>
      </c>
      <c r="K15" s="6">
        <v>23.76</v>
      </c>
      <c r="L15" s="6">
        <v>105.42</v>
      </c>
      <c r="M15" s="6">
        <v>24</v>
      </c>
      <c r="N15" s="6">
        <v>226.7</v>
      </c>
      <c r="O15" s="6">
        <v>43.62</v>
      </c>
    </row>
    <row r="16" spans="1:15" s="23" customFormat="1">
      <c r="A16" s="115" t="s">
        <v>255</v>
      </c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</row>
    <row r="17" spans="1:15">
      <c r="A17" s="6" t="s">
        <v>234</v>
      </c>
      <c r="B17" s="6">
        <v>0.106</v>
      </c>
      <c r="C17" s="6">
        <v>0.48899999999999999</v>
      </c>
      <c r="D17" s="6">
        <v>4.2999999999999997E-2</v>
      </c>
      <c r="E17" s="6">
        <v>0.5</v>
      </c>
      <c r="F17" s="6">
        <v>0.73</v>
      </c>
      <c r="G17" s="6">
        <v>0.121</v>
      </c>
      <c r="H17" s="6">
        <v>0.75</v>
      </c>
      <c r="I17" s="6">
        <v>0.33600000000000002</v>
      </c>
      <c r="J17" s="6">
        <v>5.72</v>
      </c>
      <c r="K17" s="6">
        <v>2.71</v>
      </c>
      <c r="L17" s="6">
        <v>16.09</v>
      </c>
      <c r="M17" s="6">
        <v>4.41</v>
      </c>
      <c r="N17" s="6">
        <v>53.6</v>
      </c>
      <c r="O17" s="6">
        <v>12.86</v>
      </c>
    </row>
    <row r="18" spans="1:15">
      <c r="A18" s="6" t="s">
        <v>235</v>
      </c>
      <c r="B18" s="6">
        <v>8.3000000000000004E-2</v>
      </c>
      <c r="C18" s="6">
        <v>0.97</v>
      </c>
      <c r="D18" s="6">
        <v>8.3000000000000004E-2</v>
      </c>
      <c r="E18" s="6">
        <v>0.36</v>
      </c>
      <c r="F18" s="6">
        <v>0.47</v>
      </c>
      <c r="G18" s="6">
        <v>0.17799999999999999</v>
      </c>
      <c r="H18" s="6">
        <v>2.86</v>
      </c>
      <c r="I18" s="6">
        <v>1.32</v>
      </c>
      <c r="J18" s="6">
        <v>19.5</v>
      </c>
      <c r="K18" s="6">
        <v>8.98</v>
      </c>
      <c r="L18" s="6">
        <v>47.59</v>
      </c>
      <c r="M18" s="6">
        <v>13.51</v>
      </c>
      <c r="N18" s="6">
        <v>161.19</v>
      </c>
      <c r="O18" s="6">
        <v>39.83</v>
      </c>
    </row>
    <row r="19" spans="1:15">
      <c r="A19" s="6" t="s">
        <v>230</v>
      </c>
      <c r="B19" s="6">
        <v>9.2999999999999999E-2</v>
      </c>
      <c r="C19" s="6">
        <v>0.33300000000000002</v>
      </c>
      <c r="D19" s="6">
        <v>0.03</v>
      </c>
      <c r="E19" s="6">
        <v>0.35</v>
      </c>
      <c r="F19" s="6">
        <v>0.41</v>
      </c>
      <c r="G19" s="6">
        <v>0.11899999999999999</v>
      </c>
      <c r="H19" s="6">
        <v>0.68</v>
      </c>
      <c r="I19" s="6">
        <v>0.33800000000000002</v>
      </c>
      <c r="J19" s="6">
        <v>5.04</v>
      </c>
      <c r="K19" s="6">
        <v>2.91</v>
      </c>
      <c r="L19" s="6">
        <v>17.32</v>
      </c>
      <c r="M19" s="6">
        <v>5.16</v>
      </c>
      <c r="N19" s="6">
        <v>64.3</v>
      </c>
      <c r="O19" s="6">
        <v>15.52</v>
      </c>
    </row>
    <row r="20" spans="1:15">
      <c r="A20" s="6" t="s">
        <v>231</v>
      </c>
      <c r="B20" s="6">
        <v>0.10100000000000001</v>
      </c>
      <c r="C20" s="6">
        <v>1.08</v>
      </c>
      <c r="D20" s="6">
        <v>3.5000000000000003E-2</v>
      </c>
      <c r="E20" s="6">
        <v>0.312</v>
      </c>
      <c r="F20" s="6">
        <v>0.7</v>
      </c>
      <c r="G20" s="6">
        <v>0.253</v>
      </c>
      <c r="H20" s="6">
        <v>3.36</v>
      </c>
      <c r="I20" s="6">
        <v>1.7</v>
      </c>
      <c r="J20" s="6">
        <v>26.64</v>
      </c>
      <c r="K20" s="6">
        <v>12.9</v>
      </c>
      <c r="L20" s="6">
        <v>68.09</v>
      </c>
      <c r="M20" s="6">
        <v>17.420000000000002</v>
      </c>
      <c r="N20" s="6">
        <v>206.53</v>
      </c>
      <c r="O20" s="6">
        <v>46.91</v>
      </c>
    </row>
    <row r="21" spans="1:15">
      <c r="A21" s="6" t="s">
        <v>232</v>
      </c>
      <c r="B21" s="6">
        <v>0.13100000000000001</v>
      </c>
      <c r="C21" s="6">
        <v>0.46700000000000003</v>
      </c>
      <c r="D21" s="6">
        <v>5.0999999999999997E-2</v>
      </c>
      <c r="E21" s="6">
        <v>0.13</v>
      </c>
      <c r="F21" s="6">
        <v>0.5</v>
      </c>
      <c r="G21" s="6">
        <v>0.14399999999999999</v>
      </c>
      <c r="H21" s="6">
        <v>1.1200000000000001</v>
      </c>
      <c r="I21" s="6">
        <v>0.495</v>
      </c>
      <c r="J21" s="6">
        <v>7.4</v>
      </c>
      <c r="K21" s="6">
        <v>3.64</v>
      </c>
      <c r="L21" s="6">
        <v>21.27</v>
      </c>
      <c r="M21" s="6">
        <v>5.35</v>
      </c>
      <c r="N21" s="6">
        <v>68.33</v>
      </c>
      <c r="O21" s="6">
        <v>17.38</v>
      </c>
    </row>
    <row r="22" spans="1:15">
      <c r="A22" s="6" t="s">
        <v>233</v>
      </c>
      <c r="B22" s="6">
        <v>6.3E-2</v>
      </c>
      <c r="C22" s="6">
        <v>1.21</v>
      </c>
      <c r="D22" s="6">
        <v>4.9000000000000002E-2</v>
      </c>
      <c r="E22" s="6">
        <v>0.18</v>
      </c>
      <c r="F22" s="6">
        <v>0.34699999999999998</v>
      </c>
      <c r="G22" s="6">
        <v>0.23699999999999999</v>
      </c>
      <c r="H22" s="6">
        <v>2.54</v>
      </c>
      <c r="I22" s="6">
        <v>1.23</v>
      </c>
      <c r="J22" s="6">
        <v>20.57</v>
      </c>
      <c r="K22" s="6">
        <v>10.55</v>
      </c>
      <c r="L22" s="6">
        <v>61.58</v>
      </c>
      <c r="M22" s="6">
        <v>16.8</v>
      </c>
      <c r="N22" s="6">
        <v>212.37</v>
      </c>
      <c r="O22" s="6">
        <v>52.81</v>
      </c>
    </row>
    <row r="23" spans="1:15" s="23" customFormat="1">
      <c r="A23" s="115" t="s">
        <v>182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</row>
    <row r="24" spans="1:15">
      <c r="A24" s="6" t="s">
        <v>84</v>
      </c>
      <c r="B24" s="6">
        <v>3.6875461710848198E-2</v>
      </c>
      <c r="C24" s="6">
        <v>1.51242201737061</v>
      </c>
      <c r="D24" s="6">
        <v>1.28130398207889E-2</v>
      </c>
      <c r="E24" s="6">
        <v>0.190764742018975</v>
      </c>
      <c r="F24" s="6">
        <v>0.33324716266622401</v>
      </c>
      <c r="G24" s="6">
        <v>0.211299366350822</v>
      </c>
      <c r="H24" s="6">
        <v>2.06972460145463</v>
      </c>
      <c r="I24" s="6">
        <v>0.89683460998660602</v>
      </c>
      <c r="J24" s="6">
        <v>12.6233981687403</v>
      </c>
      <c r="K24" s="6">
        <v>5.7073629916943096</v>
      </c>
      <c r="L24" s="6">
        <v>30.631719951138098</v>
      </c>
      <c r="M24" s="6">
        <v>7.79196032867765</v>
      </c>
      <c r="N24" s="6">
        <v>85.692201076554099</v>
      </c>
      <c r="O24" s="6">
        <v>20.6025238840658</v>
      </c>
    </row>
    <row r="25" spans="1:15">
      <c r="A25" s="6" t="s">
        <v>85</v>
      </c>
      <c r="B25" s="6">
        <v>1.43027892106101E-2</v>
      </c>
      <c r="C25" s="6">
        <v>1.68731838983125</v>
      </c>
      <c r="D25" s="6">
        <v>1.5123393460280099E-2</v>
      </c>
      <c r="E25" s="6">
        <v>0.14188658163050999</v>
      </c>
      <c r="F25" s="6">
        <v>0.34783364889826701</v>
      </c>
      <c r="G25" s="6">
        <v>0.30924178190673302</v>
      </c>
      <c r="H25" s="6">
        <v>3.24612256784041</v>
      </c>
      <c r="I25" s="6">
        <v>1.31513126017644</v>
      </c>
      <c r="J25" s="6">
        <v>17.327122600237299</v>
      </c>
      <c r="K25" s="6">
        <v>7.6286034316116904</v>
      </c>
      <c r="L25" s="6">
        <v>37.139954396858698</v>
      </c>
      <c r="M25" s="6">
        <v>8.9220078707155608</v>
      </c>
      <c r="N25" s="6">
        <v>95.306831427222605</v>
      </c>
      <c r="O25" s="6">
        <v>22.222484679767401</v>
      </c>
    </row>
    <row r="26" spans="1:15">
      <c r="A26" s="6" t="s">
        <v>86</v>
      </c>
      <c r="B26" s="6">
        <v>3.87102624117318E-4</v>
      </c>
      <c r="C26" s="6">
        <v>1.91204962074937</v>
      </c>
      <c r="D26" s="6">
        <v>5.4595130221700401E-3</v>
      </c>
      <c r="E26" s="6">
        <v>0.15538604732959799</v>
      </c>
      <c r="F26" s="6">
        <v>0.46916249195882198</v>
      </c>
      <c r="G26" s="6">
        <v>0.35080096057301302</v>
      </c>
      <c r="H26" s="6">
        <v>3.6495042598954299</v>
      </c>
      <c r="I26" s="6">
        <v>1.4157978400928899</v>
      </c>
      <c r="J26" s="6">
        <v>18.954687955267399</v>
      </c>
      <c r="K26" s="6">
        <v>8.3031825988276395</v>
      </c>
      <c r="L26" s="6">
        <v>42.087574595379699</v>
      </c>
      <c r="M26" s="6">
        <v>10.423504955973399</v>
      </c>
      <c r="N26" s="6">
        <v>110.925594707795</v>
      </c>
      <c r="O26" s="6">
        <v>25.203573508294301</v>
      </c>
    </row>
    <row r="27" spans="1:15">
      <c r="A27" s="6" t="s">
        <v>87</v>
      </c>
      <c r="B27" s="6">
        <v>3.0163911633658302E-3</v>
      </c>
      <c r="C27" s="6">
        <v>1.5485542606907401</v>
      </c>
      <c r="D27" s="6">
        <v>3.51099246512765E-3</v>
      </c>
      <c r="E27" s="6">
        <v>7.5451353548059402E-2</v>
      </c>
      <c r="F27" s="6">
        <v>0.16149026435010699</v>
      </c>
      <c r="G27" s="6">
        <v>0.15057459711027699</v>
      </c>
      <c r="H27" s="6">
        <v>1.77683581137052</v>
      </c>
      <c r="I27" s="6">
        <v>0.80688221824820106</v>
      </c>
      <c r="J27" s="6">
        <v>10.8340282430351</v>
      </c>
      <c r="K27" s="6">
        <v>4.9931374610859498</v>
      </c>
      <c r="L27" s="6">
        <v>25.4091740189921</v>
      </c>
      <c r="M27" s="6">
        <v>6.5052708875250396</v>
      </c>
      <c r="N27" s="6">
        <v>70.196793002813607</v>
      </c>
      <c r="O27" s="6">
        <v>16.430084837488401</v>
      </c>
    </row>
    <row r="28" spans="1:15">
      <c r="A28" s="6" t="s">
        <v>88</v>
      </c>
      <c r="B28" s="6">
        <v>2.4137180834144598E-3</v>
      </c>
      <c r="C28" s="6">
        <v>1.5331710736247399</v>
      </c>
      <c r="D28" s="6">
        <v>5.6210730919223299E-3</v>
      </c>
      <c r="E28" s="6">
        <v>0.10429996436478201</v>
      </c>
      <c r="F28" s="6">
        <v>0.33609426691494199</v>
      </c>
      <c r="G28" s="6">
        <v>0.20995264180693701</v>
      </c>
      <c r="H28" s="6">
        <v>2.4377122432368399</v>
      </c>
      <c r="I28" s="6">
        <v>1.0804936217949399</v>
      </c>
      <c r="J28" s="6">
        <v>15.011566546847201</v>
      </c>
      <c r="K28" s="6">
        <v>7.06966231406631</v>
      </c>
      <c r="L28" s="6">
        <v>36.570409165586703</v>
      </c>
      <c r="M28" s="6">
        <v>9.0168695034859994</v>
      </c>
      <c r="N28" s="6">
        <v>99.365393192133595</v>
      </c>
      <c r="O28" s="6">
        <v>23.003256222019299</v>
      </c>
    </row>
    <row r="29" spans="1:15">
      <c r="A29" s="6" t="s">
        <v>89</v>
      </c>
      <c r="B29" s="6">
        <v>2.9483291270997699E-3</v>
      </c>
      <c r="C29" s="6">
        <v>1.7031209054396901</v>
      </c>
      <c r="D29" s="6">
        <v>5.7238443767517102E-3</v>
      </c>
      <c r="E29" s="6">
        <v>0.154242883982563</v>
      </c>
      <c r="F29" s="6">
        <v>0.22902752067559601</v>
      </c>
      <c r="G29" s="6">
        <v>0.15002933790568501</v>
      </c>
      <c r="H29" s="6">
        <v>2.8317977324016002</v>
      </c>
      <c r="I29" s="6">
        <v>0.94969594701876103</v>
      </c>
      <c r="J29" s="6">
        <v>13.2014706977067</v>
      </c>
      <c r="K29" s="6">
        <v>5.9845831496666397</v>
      </c>
      <c r="L29" s="6">
        <v>31.3723717558616</v>
      </c>
      <c r="M29" s="6">
        <v>7.8398477879168498</v>
      </c>
      <c r="N29" s="6">
        <v>88.733725676278993</v>
      </c>
      <c r="O29" s="6">
        <v>21.0457103592328</v>
      </c>
    </row>
    <row r="30" spans="1:15">
      <c r="A30" s="6" t="s">
        <v>90</v>
      </c>
      <c r="B30" s="6">
        <v>1.38951071003013E-3</v>
      </c>
      <c r="C30" s="6">
        <v>2.265472562322</v>
      </c>
      <c r="D30" s="6">
        <v>3.29225869102055E-3</v>
      </c>
      <c r="E30" s="6">
        <v>5.6897484071022103E-2</v>
      </c>
      <c r="F30" s="6">
        <v>0.32019645737457803</v>
      </c>
      <c r="G30" s="6">
        <v>0.25791420613760302</v>
      </c>
      <c r="H30" s="6">
        <v>3.9332233413106401</v>
      </c>
      <c r="I30" s="6">
        <v>1.74237885367139</v>
      </c>
      <c r="J30" s="6">
        <v>26.8256608072681</v>
      </c>
      <c r="K30" s="6">
        <v>12.3674846173954</v>
      </c>
      <c r="L30" s="6">
        <v>69.110414997595399</v>
      </c>
      <c r="M30" s="6">
        <v>16.925840726161798</v>
      </c>
      <c r="N30" s="6">
        <v>185.84837977829801</v>
      </c>
      <c r="O30" s="6">
        <v>45.385669075844298</v>
      </c>
    </row>
    <row r="31" spans="1:15">
      <c r="A31" s="6" t="s">
        <v>91</v>
      </c>
      <c r="B31" s="6">
        <v>2.99130306979906E-4</v>
      </c>
      <c r="C31" s="6">
        <v>1.88365850198761</v>
      </c>
      <c r="D31" s="6">
        <v>1.5807451951614E-2</v>
      </c>
      <c r="E31" s="6">
        <v>0.14496260970958</v>
      </c>
      <c r="F31" s="6">
        <v>0.45300966408715998</v>
      </c>
      <c r="G31" s="6">
        <v>0.34284674924025199</v>
      </c>
      <c r="H31" s="6">
        <v>3.6159504313903401</v>
      </c>
      <c r="I31" s="6">
        <v>1.5204434941684799</v>
      </c>
      <c r="J31" s="6">
        <v>21.2252852409909</v>
      </c>
      <c r="K31" s="6">
        <v>9.5786982906817393</v>
      </c>
      <c r="L31" s="6">
        <v>48.854084908779797</v>
      </c>
      <c r="M31" s="6">
        <v>11.824097161732499</v>
      </c>
      <c r="N31" s="6">
        <v>124.69812892220899</v>
      </c>
      <c r="O31" s="6">
        <v>28.483711069026501</v>
      </c>
    </row>
    <row r="32" spans="1:15">
      <c r="A32" s="6" t="s">
        <v>92</v>
      </c>
      <c r="B32" s="6">
        <v>1.7208872782095699E-3</v>
      </c>
      <c r="C32" s="6">
        <v>1.53933065582748</v>
      </c>
      <c r="D32" s="6">
        <v>4.95072658011637E-2</v>
      </c>
      <c r="E32" s="6">
        <v>0.156633882101224</v>
      </c>
      <c r="F32" s="6">
        <v>0.23070841111372101</v>
      </c>
      <c r="G32" s="6">
        <v>0.15561863052988201</v>
      </c>
      <c r="H32" s="6">
        <v>1.76160983226195</v>
      </c>
      <c r="I32" s="6">
        <v>0.76512477980775495</v>
      </c>
      <c r="J32" s="6">
        <v>11.552399401251501</v>
      </c>
      <c r="K32" s="6">
        <v>5.0821491387563302</v>
      </c>
      <c r="L32" s="6">
        <v>26.835569083956699</v>
      </c>
      <c r="M32" s="6">
        <v>6.9335397045562202</v>
      </c>
      <c r="N32" s="6">
        <v>76.303126573246701</v>
      </c>
      <c r="O32" s="6">
        <v>18.207652184293298</v>
      </c>
    </row>
    <row r="33" spans="1:15">
      <c r="A33" s="6" t="s">
        <v>93</v>
      </c>
      <c r="B33" s="6">
        <v>1.48874509937959E-2</v>
      </c>
      <c r="C33" s="6">
        <v>1.4735253887823201</v>
      </c>
      <c r="D33" s="6">
        <v>6.7444639101486197E-3</v>
      </c>
      <c r="E33" s="6">
        <v>8.5523817997631799E-2</v>
      </c>
      <c r="F33" s="6">
        <v>0.22485082154411201</v>
      </c>
      <c r="G33" s="6">
        <v>0.17880532097348301</v>
      </c>
      <c r="H33" s="6">
        <v>2.2947545985164099</v>
      </c>
      <c r="I33" s="6">
        <v>0.94210209584850602</v>
      </c>
      <c r="J33" s="6">
        <v>13.4673192263026</v>
      </c>
      <c r="K33" s="6">
        <v>6.3586063194938101</v>
      </c>
      <c r="L33" s="6">
        <v>33.424176720172397</v>
      </c>
      <c r="M33" s="6">
        <v>8.2341155118550908</v>
      </c>
      <c r="N33" s="6">
        <v>89.580051619573794</v>
      </c>
      <c r="O33" s="6">
        <v>21.079235427449301</v>
      </c>
    </row>
    <row r="34" spans="1:15">
      <c r="A34" s="6" t="s">
        <v>94</v>
      </c>
      <c r="B34" s="6">
        <v>1.7741884100441099E-2</v>
      </c>
      <c r="C34" s="6">
        <v>1.3330573284679501</v>
      </c>
      <c r="D34" s="6">
        <v>1.2566683463225601E-2</v>
      </c>
      <c r="E34" s="6">
        <v>3.1404387928937301E-2</v>
      </c>
      <c r="F34" s="6">
        <v>0.14732643400119899</v>
      </c>
      <c r="G34" s="6">
        <v>0.104505104580596</v>
      </c>
      <c r="H34" s="6">
        <v>1.2782285778901099</v>
      </c>
      <c r="I34" s="6">
        <v>0.60811311579250305</v>
      </c>
      <c r="J34" s="6">
        <v>8.8017633583622104</v>
      </c>
      <c r="K34" s="6">
        <v>3.9607012908447499</v>
      </c>
      <c r="L34" s="6">
        <v>21.714133891270301</v>
      </c>
      <c r="M34" s="6">
        <v>5.5333846154772601</v>
      </c>
      <c r="N34" s="6">
        <v>62.185536333206102</v>
      </c>
      <c r="O34" s="6">
        <v>15.1816898709471</v>
      </c>
    </row>
    <row r="35" spans="1:15">
      <c r="A35" s="6" t="s">
        <v>95</v>
      </c>
      <c r="B35" s="6">
        <v>0</v>
      </c>
      <c r="C35" s="6">
        <v>1.94817966738195</v>
      </c>
      <c r="D35" s="6">
        <v>9.0645496855272008E-3</v>
      </c>
      <c r="E35" s="6">
        <v>0.15296747119437201</v>
      </c>
      <c r="F35" s="6">
        <v>0.42974635766270902</v>
      </c>
      <c r="G35" s="6">
        <v>0.37152885878290398</v>
      </c>
      <c r="H35" s="6">
        <v>4.1390444359322096</v>
      </c>
      <c r="I35" s="6">
        <v>1.6911605707492801</v>
      </c>
      <c r="J35" s="6">
        <v>23.715210354757001</v>
      </c>
      <c r="K35" s="6">
        <v>10.3653170573476</v>
      </c>
      <c r="L35" s="6">
        <v>50.815600442652801</v>
      </c>
      <c r="M35" s="6">
        <v>12.146547075890201</v>
      </c>
      <c r="N35" s="6">
        <v>130.92926475176901</v>
      </c>
      <c r="O35" s="6">
        <v>30.465912473241001</v>
      </c>
    </row>
    <row r="36" spans="1:15">
      <c r="A36" s="6" t="s">
        <v>96</v>
      </c>
      <c r="B36" s="6">
        <v>1.5065872475252299E-3</v>
      </c>
      <c r="C36" s="6">
        <v>1.4826044051371501</v>
      </c>
      <c r="D36" s="6">
        <v>2.34940468272775E-3</v>
      </c>
      <c r="E36" s="6">
        <v>9.60913054333776E-2</v>
      </c>
      <c r="F36" s="6">
        <v>0.17010716096169301</v>
      </c>
      <c r="G36" s="6">
        <v>0.16174443432035701</v>
      </c>
      <c r="H36" s="6">
        <v>1.8881516630700801</v>
      </c>
      <c r="I36" s="6">
        <v>0.85024542100739298</v>
      </c>
      <c r="J36" s="6">
        <v>13.879244401293001</v>
      </c>
      <c r="K36" s="6">
        <v>6.6336784878366002</v>
      </c>
      <c r="L36" s="6">
        <v>36.905657506749101</v>
      </c>
      <c r="M36" s="6">
        <v>9.6198043956833494</v>
      </c>
      <c r="N36" s="6">
        <v>107.97000793858901</v>
      </c>
      <c r="O36" s="6">
        <v>26.653777015725002</v>
      </c>
    </row>
    <row r="37" spans="1:15">
      <c r="A37" s="6" t="s">
        <v>97</v>
      </c>
      <c r="B37" s="6">
        <v>0</v>
      </c>
      <c r="C37" s="6">
        <v>1.8950036465829001</v>
      </c>
      <c r="D37" s="6">
        <v>5.7221855335920996E-3</v>
      </c>
      <c r="E37" s="6">
        <v>0.20828412548074199</v>
      </c>
      <c r="F37" s="6">
        <v>0.56309915506326202</v>
      </c>
      <c r="G37" s="6">
        <v>0.41480641102627402</v>
      </c>
      <c r="H37" s="6">
        <v>4.8571632095544102</v>
      </c>
      <c r="I37" s="6">
        <v>2.0547986334970898</v>
      </c>
      <c r="J37" s="6">
        <v>28.6895464447561</v>
      </c>
      <c r="K37" s="6">
        <v>12.284693982668999</v>
      </c>
      <c r="L37" s="6">
        <v>61.433780725272101</v>
      </c>
      <c r="M37" s="6">
        <v>14.368115624390899</v>
      </c>
      <c r="N37" s="6">
        <v>146.611036863598</v>
      </c>
      <c r="O37" s="6">
        <v>33.469749633642301</v>
      </c>
    </row>
    <row r="38" spans="1:15">
      <c r="A38" s="6" t="s">
        <v>98</v>
      </c>
      <c r="B38" s="6">
        <v>0</v>
      </c>
      <c r="C38" s="6">
        <v>1.4264822542511</v>
      </c>
      <c r="D38" s="6">
        <v>2.63483853465688E-3</v>
      </c>
      <c r="E38" s="6">
        <v>0</v>
      </c>
      <c r="F38" s="6">
        <v>0.136255853039605</v>
      </c>
      <c r="G38" s="6">
        <v>0.10434264758008201</v>
      </c>
      <c r="H38" s="6">
        <v>1.61198592626618</v>
      </c>
      <c r="I38" s="6">
        <v>0.69900275448340299</v>
      </c>
      <c r="J38" s="6">
        <v>10.158255799434</v>
      </c>
      <c r="K38" s="6">
        <v>4.6286968682754104</v>
      </c>
      <c r="L38" s="6">
        <v>25.377377613706699</v>
      </c>
      <c r="M38" s="6">
        <v>6.4844163709429203</v>
      </c>
      <c r="N38" s="6">
        <v>73.118534773044303</v>
      </c>
      <c r="O38" s="6">
        <v>17.862361111308299</v>
      </c>
    </row>
    <row r="39" spans="1:15">
      <c r="A39" s="6" t="s">
        <v>99</v>
      </c>
      <c r="B39" s="6">
        <v>0</v>
      </c>
      <c r="C39" s="6">
        <v>1.58746559312043</v>
      </c>
      <c r="D39" s="6">
        <v>5.7217902773211704E-3</v>
      </c>
      <c r="E39" s="6">
        <v>5.3313847518356001E-2</v>
      </c>
      <c r="F39" s="6">
        <v>0.184102991062187</v>
      </c>
      <c r="G39" s="6">
        <v>0.123175690566917</v>
      </c>
      <c r="H39" s="6">
        <v>1.86815236548429</v>
      </c>
      <c r="I39" s="6">
        <v>0.74860609849390702</v>
      </c>
      <c r="J39" s="6">
        <v>10.774292707033601</v>
      </c>
      <c r="K39" s="6">
        <v>5.15915818893078</v>
      </c>
      <c r="L39" s="6">
        <v>26.325762527290401</v>
      </c>
      <c r="M39" s="6">
        <v>6.8388238429429604</v>
      </c>
      <c r="N39" s="6">
        <v>74.284847736496502</v>
      </c>
      <c r="O39" s="6">
        <v>17.977235386122299</v>
      </c>
    </row>
    <row r="40" spans="1:15">
      <c r="A40" s="6" t="s">
        <v>100</v>
      </c>
      <c r="B40" s="6">
        <v>1.2665996238549099E-2</v>
      </c>
      <c r="C40" s="6">
        <v>1.72917976151797</v>
      </c>
      <c r="D40" s="6">
        <v>4.2449649412856002E-3</v>
      </c>
      <c r="E40" s="6">
        <v>0.12728775427472599</v>
      </c>
      <c r="F40" s="6">
        <v>0.34553826800968501</v>
      </c>
      <c r="G40" s="6">
        <v>0.25880990816977201</v>
      </c>
      <c r="H40" s="6">
        <v>2.8375174603761799</v>
      </c>
      <c r="I40" s="6">
        <v>1.11077219018315</v>
      </c>
      <c r="J40" s="6">
        <v>16.142401562924402</v>
      </c>
      <c r="K40" s="6">
        <v>7.34235814691176</v>
      </c>
      <c r="L40" s="6">
        <v>38.870059801691298</v>
      </c>
      <c r="M40" s="6">
        <v>9.4586681265900108</v>
      </c>
      <c r="N40" s="6">
        <v>100.327558314595</v>
      </c>
      <c r="O40" s="6">
        <v>23.711882374012799</v>
      </c>
    </row>
    <row r="41" spans="1:15">
      <c r="A41" s="6" t="s">
        <v>101</v>
      </c>
      <c r="B41" s="6">
        <v>7.47587190288641E-3</v>
      </c>
      <c r="C41" s="6">
        <v>1.32789123927303</v>
      </c>
      <c r="D41" s="6">
        <v>7.7977926677248203E-3</v>
      </c>
      <c r="E41" s="6">
        <v>0.107979578193588</v>
      </c>
      <c r="F41" s="6">
        <v>0.46360370608731899</v>
      </c>
      <c r="G41" s="6">
        <v>0.289575468652428</v>
      </c>
      <c r="H41" s="6">
        <v>3.3118234116179601</v>
      </c>
      <c r="I41" s="6">
        <v>1.3102546809830899</v>
      </c>
      <c r="J41" s="6">
        <v>15.9855000215966</v>
      </c>
      <c r="K41" s="6">
        <v>6.42814306739057</v>
      </c>
      <c r="L41" s="6">
        <v>31.604997336290701</v>
      </c>
      <c r="M41" s="6">
        <v>7.4987148846112897</v>
      </c>
      <c r="N41" s="6">
        <v>81.695980919332001</v>
      </c>
      <c r="O41" s="6">
        <v>19.053966813673501</v>
      </c>
    </row>
    <row r="42" spans="1:15">
      <c r="A42" s="6" t="s">
        <v>102</v>
      </c>
      <c r="B42" s="6">
        <v>1.1008935630622401E-2</v>
      </c>
      <c r="C42" s="6">
        <v>1.91944412097491</v>
      </c>
      <c r="D42" s="6">
        <v>1.6306769466614301E-2</v>
      </c>
      <c r="E42" s="6">
        <v>7.6043486148616501E-2</v>
      </c>
      <c r="F42" s="6">
        <v>0.38965302709056099</v>
      </c>
      <c r="G42" s="6">
        <v>0.25509233623772298</v>
      </c>
      <c r="H42" s="6">
        <v>2.73381695519363</v>
      </c>
      <c r="I42" s="6">
        <v>1.0454913790412199</v>
      </c>
      <c r="J42" s="6">
        <v>15.0946903939238</v>
      </c>
      <c r="K42" s="6">
        <v>7.0767945112341204</v>
      </c>
      <c r="L42" s="6">
        <v>36.781584064855899</v>
      </c>
      <c r="M42" s="6">
        <v>9.0766836933877393</v>
      </c>
      <c r="N42" s="6">
        <v>99.591345802596507</v>
      </c>
      <c r="O42" s="6">
        <v>23.713212731127999</v>
      </c>
    </row>
    <row r="43" spans="1:15">
      <c r="A43" s="6" t="s">
        <v>103</v>
      </c>
      <c r="B43" s="6">
        <v>1.36338907003071E-3</v>
      </c>
      <c r="C43" s="6">
        <v>1.17028762845731</v>
      </c>
      <c r="D43" s="6">
        <v>6.32409297670199E-3</v>
      </c>
      <c r="E43" s="6">
        <v>0.118185828583188</v>
      </c>
      <c r="F43" s="6">
        <v>0.301629699646011</v>
      </c>
      <c r="G43" s="6">
        <v>0.225804232735522</v>
      </c>
      <c r="H43" s="6">
        <v>2.3761289254330702</v>
      </c>
      <c r="I43" s="6">
        <v>0.96190825266468605</v>
      </c>
      <c r="J43" s="6">
        <v>13.824257579947799</v>
      </c>
      <c r="K43" s="6">
        <v>5.9259794268252097</v>
      </c>
      <c r="L43" s="6">
        <v>29.330451814121002</v>
      </c>
      <c r="M43" s="6">
        <v>7.1139573133832803</v>
      </c>
      <c r="N43" s="6">
        <v>75.370802650229194</v>
      </c>
      <c r="O43" s="6">
        <v>18.259569545878598</v>
      </c>
    </row>
    <row r="44" spans="1:15">
      <c r="A44" s="6" t="s">
        <v>104</v>
      </c>
      <c r="B44" s="6">
        <v>2.0307412536020999E-2</v>
      </c>
      <c r="C44" s="6">
        <v>1.40005780018352</v>
      </c>
      <c r="D44" s="6">
        <v>1.4578590741019099E-2</v>
      </c>
      <c r="E44" s="6">
        <v>0.110808869568348</v>
      </c>
      <c r="F44" s="6">
        <v>0.27403547813427598</v>
      </c>
      <c r="G44" s="6">
        <v>0.15947422585986401</v>
      </c>
      <c r="H44" s="6">
        <v>2.0244124687368799</v>
      </c>
      <c r="I44" s="6">
        <v>0.87395961208347095</v>
      </c>
      <c r="J44" s="6">
        <v>13.0225995106818</v>
      </c>
      <c r="K44" s="6">
        <v>6.2335832224538601</v>
      </c>
      <c r="L44" s="6">
        <v>32.943933995697201</v>
      </c>
      <c r="M44" s="6">
        <v>8.2474488445102896</v>
      </c>
      <c r="N44" s="6">
        <v>91.027760794715704</v>
      </c>
      <c r="O44" s="6">
        <v>22.049301810570601</v>
      </c>
    </row>
    <row r="45" spans="1:15">
      <c r="A45" s="6" t="s">
        <v>105</v>
      </c>
      <c r="B45" s="6">
        <v>6.3024081598209401E-3</v>
      </c>
      <c r="C45" s="6">
        <v>1.45215999242828</v>
      </c>
      <c r="D45" s="6">
        <v>7.5606916978586299E-3</v>
      </c>
      <c r="E45" s="6">
        <v>0.13661761337737999</v>
      </c>
      <c r="F45" s="6">
        <v>0.57850799248328499</v>
      </c>
      <c r="G45" s="6">
        <v>0.32028611615158498</v>
      </c>
      <c r="H45" s="6">
        <v>3.0386835286359299</v>
      </c>
      <c r="I45" s="6">
        <v>1.2069700107458501</v>
      </c>
      <c r="J45" s="6">
        <v>15.871112175847999</v>
      </c>
      <c r="K45" s="6">
        <v>6.9191769916122903</v>
      </c>
      <c r="L45" s="6">
        <v>34.640278524142502</v>
      </c>
      <c r="M45" s="6">
        <v>8.0457748974964893</v>
      </c>
      <c r="N45" s="6">
        <v>82.576669287306601</v>
      </c>
      <c r="O45" s="6">
        <v>19.191703409354801</v>
      </c>
    </row>
    <row r="46" spans="1:15" s="23" customFormat="1">
      <c r="A46" s="115" t="s">
        <v>254</v>
      </c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</row>
    <row r="47" spans="1:15">
      <c r="A47" s="6" t="s">
        <v>238</v>
      </c>
      <c r="B47" s="6">
        <v>3.5000000000000003E-2</v>
      </c>
      <c r="C47" s="6">
        <v>10.29</v>
      </c>
      <c r="D47" s="6">
        <v>7.4999999999999997E-2</v>
      </c>
      <c r="E47" s="6">
        <v>1.0900000000000001</v>
      </c>
      <c r="F47" s="6">
        <v>2.46</v>
      </c>
      <c r="G47" s="6">
        <v>0.42799999999999999</v>
      </c>
      <c r="H47" s="6">
        <v>17.190000000000001</v>
      </c>
      <c r="I47" s="6">
        <v>7.33</v>
      </c>
      <c r="J47" s="6">
        <v>101.55</v>
      </c>
      <c r="K47" s="6">
        <v>44.03</v>
      </c>
      <c r="L47" s="6">
        <v>215.89</v>
      </c>
      <c r="M47" s="6">
        <v>48.69</v>
      </c>
      <c r="N47" s="6">
        <v>503.84</v>
      </c>
      <c r="O47" s="6">
        <v>108.88</v>
      </c>
    </row>
    <row r="48" spans="1:15">
      <c r="A48" s="6" t="s">
        <v>239</v>
      </c>
      <c r="B48" s="6">
        <v>2.5000000000000001E-2</v>
      </c>
      <c r="C48" s="6">
        <v>0.53</v>
      </c>
      <c r="D48" s="6">
        <v>2.0899999999999998E-2</v>
      </c>
      <c r="E48" s="6">
        <v>0.107</v>
      </c>
      <c r="F48" s="6">
        <v>0.152</v>
      </c>
      <c r="G48" s="6">
        <v>0.10299999999999999</v>
      </c>
      <c r="H48" s="6">
        <v>1.08</v>
      </c>
      <c r="I48" s="6">
        <v>0.56799999999999995</v>
      </c>
      <c r="J48" s="6">
        <v>10.23</v>
      </c>
      <c r="K48" s="6">
        <v>5.73</v>
      </c>
      <c r="L48" s="6">
        <v>36.19</v>
      </c>
      <c r="M48" s="6">
        <v>9.9</v>
      </c>
      <c r="N48" s="6">
        <v>124.39</v>
      </c>
      <c r="O48" s="6">
        <v>35.61</v>
      </c>
    </row>
    <row r="49" spans="1:15">
      <c r="A49" s="6" t="s">
        <v>240</v>
      </c>
      <c r="B49" s="6">
        <v>2.7E-2</v>
      </c>
      <c r="C49" s="6">
        <v>2.87</v>
      </c>
      <c r="D49" s="6">
        <v>2.0899999999999998E-2</v>
      </c>
      <c r="E49" s="6">
        <v>0.13200000000000001</v>
      </c>
      <c r="F49" s="6">
        <v>0.17100000000000001</v>
      </c>
      <c r="G49" s="6">
        <v>0.26600000000000001</v>
      </c>
      <c r="H49" s="6">
        <v>2.04</v>
      </c>
      <c r="I49" s="6">
        <v>1.04</v>
      </c>
      <c r="J49" s="6">
        <v>14.39</v>
      </c>
      <c r="K49" s="6">
        <v>6.83</v>
      </c>
      <c r="L49" s="6">
        <v>38.590000000000003</v>
      </c>
      <c r="M49" s="6">
        <v>10.58</v>
      </c>
      <c r="N49" s="6">
        <v>124.48</v>
      </c>
      <c r="O49" s="6">
        <v>32.85</v>
      </c>
    </row>
    <row r="50" spans="1:15">
      <c r="A50" s="6" t="s">
        <v>241</v>
      </c>
      <c r="B50" s="6">
        <v>2.1999999999999999E-2</v>
      </c>
      <c r="C50" s="6">
        <v>2.83</v>
      </c>
      <c r="D50" s="6">
        <v>2.3900000000000001E-2</v>
      </c>
      <c r="E50" s="6">
        <v>0.14299999999999999</v>
      </c>
      <c r="F50" s="6">
        <v>0.30499999999999999</v>
      </c>
      <c r="G50" s="6">
        <v>0.151</v>
      </c>
      <c r="H50" s="6">
        <v>2.2599999999999998</v>
      </c>
      <c r="I50" s="6">
        <v>1.06</v>
      </c>
      <c r="J50" s="6">
        <v>14.28</v>
      </c>
      <c r="K50" s="6">
        <v>6.53</v>
      </c>
      <c r="L50" s="6">
        <v>35.74</v>
      </c>
      <c r="M50" s="6">
        <v>9.41</v>
      </c>
      <c r="N50" s="6">
        <v>111.75</v>
      </c>
      <c r="O50" s="6">
        <v>28.22</v>
      </c>
    </row>
    <row r="51" spans="1:15">
      <c r="A51" s="6" t="s">
        <v>242</v>
      </c>
      <c r="B51" s="6">
        <v>3.1E-2</v>
      </c>
      <c r="C51" s="6">
        <v>5.84</v>
      </c>
      <c r="D51" s="6">
        <v>3.2000000000000001E-2</v>
      </c>
      <c r="E51" s="6">
        <v>0.94</v>
      </c>
      <c r="F51" s="6">
        <v>2.27</v>
      </c>
      <c r="G51" s="6">
        <v>0.34</v>
      </c>
      <c r="H51" s="6">
        <v>14.74</v>
      </c>
      <c r="I51" s="6">
        <v>6.17</v>
      </c>
      <c r="J51" s="6">
        <v>79.33</v>
      </c>
      <c r="K51" s="6">
        <v>33.869999999999997</v>
      </c>
      <c r="L51" s="6">
        <v>160.69999999999999</v>
      </c>
      <c r="M51" s="6">
        <v>34.71</v>
      </c>
      <c r="N51" s="6">
        <v>336.09</v>
      </c>
      <c r="O51" s="6">
        <v>68.67</v>
      </c>
    </row>
    <row r="52" spans="1:15">
      <c r="A52" s="6" t="s">
        <v>243</v>
      </c>
      <c r="B52" s="6">
        <v>2.5000000000000001E-2</v>
      </c>
      <c r="C52" s="6">
        <v>0.71699999999999997</v>
      </c>
      <c r="D52" s="6">
        <v>2.3199999999999998E-2</v>
      </c>
      <c r="E52" s="6">
        <v>0.13300000000000001</v>
      </c>
      <c r="F52" s="6">
        <v>0.189</v>
      </c>
      <c r="G52" s="6">
        <v>0.161</v>
      </c>
      <c r="H52" s="6">
        <v>1.43</v>
      </c>
      <c r="I52" s="6">
        <v>0.75700000000000001</v>
      </c>
      <c r="J52" s="6">
        <v>11.16</v>
      </c>
      <c r="K52" s="6">
        <v>6.13</v>
      </c>
      <c r="L52" s="6">
        <v>36.58</v>
      </c>
      <c r="M52" s="6">
        <v>9.93</v>
      </c>
      <c r="N52" s="6">
        <v>129.85</v>
      </c>
      <c r="O52" s="6">
        <v>39.630000000000003</v>
      </c>
    </row>
    <row r="53" spans="1:15">
      <c r="A53" s="6" t="s">
        <v>244</v>
      </c>
      <c r="B53" s="6">
        <v>8.5999999999999993E-2</v>
      </c>
      <c r="C53" s="6">
        <v>2.65</v>
      </c>
      <c r="D53" s="6">
        <v>3.2000000000000001E-2</v>
      </c>
      <c r="E53" s="6">
        <v>0.22</v>
      </c>
      <c r="F53" s="6">
        <v>0.26</v>
      </c>
      <c r="G53" s="6">
        <v>0.20399999999999999</v>
      </c>
      <c r="H53" s="6">
        <v>1.98</v>
      </c>
      <c r="I53" s="6">
        <v>0.93</v>
      </c>
      <c r="J53" s="6">
        <v>15.12</v>
      </c>
      <c r="K53" s="6">
        <v>7.68</v>
      </c>
      <c r="L53" s="6">
        <v>44.27</v>
      </c>
      <c r="M53" s="6">
        <v>11.37</v>
      </c>
      <c r="N53" s="6">
        <v>134.44999999999999</v>
      </c>
      <c r="O53" s="6">
        <v>35.18</v>
      </c>
    </row>
    <row r="54" spans="1:15">
      <c r="A54" s="6" t="s">
        <v>245</v>
      </c>
      <c r="B54" s="6">
        <v>3.3000000000000002E-2</v>
      </c>
      <c r="C54" s="6">
        <v>4.1100000000000003</v>
      </c>
      <c r="D54" s="6">
        <v>2.1000000000000001E-2</v>
      </c>
      <c r="E54" s="6">
        <v>0.441</v>
      </c>
      <c r="F54" s="6">
        <v>1.21</v>
      </c>
      <c r="G54" s="6">
        <v>0.318</v>
      </c>
      <c r="H54" s="6">
        <v>9.75</v>
      </c>
      <c r="I54" s="6">
        <v>3.99</v>
      </c>
      <c r="J54" s="6">
        <v>54.71</v>
      </c>
      <c r="K54" s="6">
        <v>22.51</v>
      </c>
      <c r="L54" s="6">
        <v>108.3</v>
      </c>
      <c r="M54" s="6">
        <v>23.71</v>
      </c>
      <c r="N54" s="6">
        <v>228.65</v>
      </c>
      <c r="O54" s="6">
        <v>47.12</v>
      </c>
    </row>
    <row r="55" spans="1:15">
      <c r="A55" s="6" t="s">
        <v>246</v>
      </c>
      <c r="B55" s="6">
        <v>2.2200000000000001E-2</v>
      </c>
      <c r="C55" s="6">
        <v>1.17</v>
      </c>
      <c r="D55" s="6">
        <v>1.8499999999999999E-2</v>
      </c>
      <c r="E55" s="6">
        <v>0.13500000000000001</v>
      </c>
      <c r="F55" s="6">
        <v>0.26100000000000001</v>
      </c>
      <c r="G55" s="6">
        <v>0.114</v>
      </c>
      <c r="H55" s="6">
        <v>1.26</v>
      </c>
      <c r="I55" s="6">
        <v>0.72299999999999998</v>
      </c>
      <c r="J55" s="6">
        <v>10.75</v>
      </c>
      <c r="K55" s="6">
        <v>5.51</v>
      </c>
      <c r="L55" s="6">
        <v>32.46</v>
      </c>
      <c r="M55" s="6">
        <v>8.83</v>
      </c>
      <c r="N55" s="6">
        <v>111.93</v>
      </c>
      <c r="O55" s="6">
        <v>31.47</v>
      </c>
    </row>
    <row r="56" spans="1:15">
      <c r="A56" s="6" t="s">
        <v>247</v>
      </c>
      <c r="B56" s="6">
        <v>0.65200000000000002</v>
      </c>
      <c r="C56" s="6">
        <v>9.41</v>
      </c>
      <c r="D56" s="6">
        <v>0.40899999999999997</v>
      </c>
      <c r="E56" s="6">
        <v>3.91</v>
      </c>
      <c r="F56" s="6">
        <v>5.32</v>
      </c>
      <c r="G56" s="6">
        <v>0.94799999999999995</v>
      </c>
      <c r="H56" s="6">
        <v>33.270000000000003</v>
      </c>
      <c r="I56" s="6">
        <v>12.29</v>
      </c>
      <c r="J56" s="6">
        <v>154.13</v>
      </c>
      <c r="K56" s="6">
        <v>61.84</v>
      </c>
      <c r="L56" s="6">
        <v>281.17</v>
      </c>
      <c r="M56" s="6">
        <v>58.19</v>
      </c>
      <c r="N56" s="6">
        <v>556.13</v>
      </c>
      <c r="O56" s="6">
        <v>113.05</v>
      </c>
    </row>
    <row r="57" spans="1:15">
      <c r="A57" s="6" t="s">
        <v>248</v>
      </c>
      <c r="B57" s="6">
        <v>2.5999999999999999E-2</v>
      </c>
      <c r="C57" s="6">
        <v>1.1599999999999999</v>
      </c>
      <c r="D57" s="6">
        <v>1.66E-2</v>
      </c>
      <c r="E57" s="6">
        <v>0.2</v>
      </c>
      <c r="F57" s="6">
        <v>0.16500000000000001</v>
      </c>
      <c r="G57" s="6">
        <v>0.14199999999999999</v>
      </c>
      <c r="H57" s="6">
        <v>1.99</v>
      </c>
      <c r="I57" s="6">
        <v>0.8</v>
      </c>
      <c r="J57" s="6">
        <v>12.23</v>
      </c>
      <c r="K57" s="6">
        <v>6.01</v>
      </c>
      <c r="L57" s="6">
        <v>36.47</v>
      </c>
      <c r="M57" s="6">
        <v>10.06</v>
      </c>
      <c r="N57" s="6">
        <v>122.82</v>
      </c>
      <c r="O57" s="6">
        <v>34.28</v>
      </c>
    </row>
    <row r="58" spans="1:15">
      <c r="A58" s="6" t="s">
        <v>249</v>
      </c>
      <c r="B58" s="6">
        <v>3.2000000000000001E-2</v>
      </c>
      <c r="C58" s="6">
        <v>3.14</v>
      </c>
      <c r="D58" s="6">
        <v>1.8599999999999998E-2</v>
      </c>
      <c r="E58" s="6">
        <v>0.126</v>
      </c>
      <c r="F58" s="6">
        <v>0.29899999999999999</v>
      </c>
      <c r="G58" s="6">
        <v>0.28000000000000003</v>
      </c>
      <c r="H58" s="6">
        <v>2.62</v>
      </c>
      <c r="I58" s="6">
        <v>1.22</v>
      </c>
      <c r="J58" s="6">
        <v>17.149999999999999</v>
      </c>
      <c r="K58" s="6">
        <v>7.9</v>
      </c>
      <c r="L58" s="6">
        <v>44.64</v>
      </c>
      <c r="M58" s="6">
        <v>11.79</v>
      </c>
      <c r="N58" s="6">
        <v>139.22</v>
      </c>
      <c r="O58" s="6">
        <v>35.47</v>
      </c>
    </row>
    <row r="59" spans="1:15">
      <c r="A59" s="6" t="s">
        <v>250</v>
      </c>
      <c r="B59" s="6">
        <v>2.4E-2</v>
      </c>
      <c r="C59" s="6">
        <v>3.05</v>
      </c>
      <c r="D59" s="6">
        <v>1.9699999999999999E-2</v>
      </c>
      <c r="E59" s="6">
        <v>0.14199999999999999</v>
      </c>
      <c r="F59" s="6">
        <v>0.27500000000000002</v>
      </c>
      <c r="G59" s="6">
        <v>0.23699999999999999</v>
      </c>
      <c r="H59" s="6">
        <v>2.17</v>
      </c>
      <c r="I59" s="6">
        <v>1.04</v>
      </c>
      <c r="J59" s="6">
        <v>14.18</v>
      </c>
      <c r="K59" s="6">
        <v>6.49</v>
      </c>
      <c r="L59" s="6">
        <v>35.700000000000003</v>
      </c>
      <c r="M59" s="6">
        <v>9.4</v>
      </c>
      <c r="N59" s="6">
        <v>113.46</v>
      </c>
      <c r="O59" s="6">
        <v>28.88</v>
      </c>
    </row>
    <row r="60" spans="1:15">
      <c r="A60" s="6" t="s">
        <v>251</v>
      </c>
      <c r="B60" s="6">
        <v>1.8499999999999999E-2</v>
      </c>
      <c r="C60" s="6">
        <v>0.48499999999999999</v>
      </c>
      <c r="D60" s="6">
        <v>1.84E-2</v>
      </c>
      <c r="E60" s="6">
        <v>0.11799999999999999</v>
      </c>
      <c r="F60" s="6">
        <v>0.16</v>
      </c>
      <c r="G60" s="6">
        <v>0.13300000000000001</v>
      </c>
      <c r="H60" s="6">
        <v>1.31</v>
      </c>
      <c r="I60" s="6">
        <v>0.56799999999999995</v>
      </c>
      <c r="J60" s="6">
        <v>10.24</v>
      </c>
      <c r="K60" s="6">
        <v>5.69</v>
      </c>
      <c r="L60" s="6">
        <v>33.92</v>
      </c>
      <c r="M60" s="6">
        <v>9.49</v>
      </c>
      <c r="N60" s="6">
        <v>125.61</v>
      </c>
      <c r="O60" s="6">
        <v>36.619999999999997</v>
      </c>
    </row>
    <row r="61" spans="1:15">
      <c r="A61" s="6" t="s">
        <v>252</v>
      </c>
      <c r="B61" s="6">
        <v>0.03</v>
      </c>
      <c r="C61" s="6">
        <v>0.51800000000000002</v>
      </c>
      <c r="D61" s="6">
        <v>3.1E-2</v>
      </c>
      <c r="E61" s="6">
        <v>0.14599999999999999</v>
      </c>
      <c r="F61" s="6">
        <v>0.22800000000000001</v>
      </c>
      <c r="G61" s="6">
        <v>0.15</v>
      </c>
      <c r="H61" s="6">
        <v>1.52</v>
      </c>
      <c r="I61" s="6">
        <v>0.69699999999999995</v>
      </c>
      <c r="J61" s="6">
        <v>10.87</v>
      </c>
      <c r="K61" s="6">
        <v>5.62</v>
      </c>
      <c r="L61" s="6">
        <v>34.700000000000003</v>
      </c>
      <c r="M61" s="6">
        <v>9.68</v>
      </c>
      <c r="N61" s="6">
        <v>120.62</v>
      </c>
      <c r="O61" s="6">
        <v>36.24</v>
      </c>
    </row>
    <row r="62" spans="1:15" ht="14" thickBot="1">
      <c r="A62" s="7" t="s">
        <v>253</v>
      </c>
      <c r="B62" s="7">
        <v>5.8999999999999997E-2</v>
      </c>
      <c r="C62" s="7">
        <v>34.43</v>
      </c>
      <c r="D62" s="7">
        <v>0.184</v>
      </c>
      <c r="E62" s="7">
        <v>3.31</v>
      </c>
      <c r="F62" s="7">
        <v>9.81</v>
      </c>
      <c r="G62" s="7">
        <v>0.85699999999999998</v>
      </c>
      <c r="H62" s="7">
        <v>67.61</v>
      </c>
      <c r="I62" s="7">
        <v>25.5</v>
      </c>
      <c r="J62" s="7">
        <v>310.33</v>
      </c>
      <c r="K62" s="7">
        <v>121.54</v>
      </c>
      <c r="L62" s="7">
        <v>536.1</v>
      </c>
      <c r="M62" s="7">
        <v>108.07</v>
      </c>
      <c r="N62" s="7">
        <v>985.57</v>
      </c>
      <c r="O62" s="7">
        <v>190.59</v>
      </c>
    </row>
    <row r="79" spans="1:15">
      <c r="A79" s="6"/>
      <c r="B79" s="6"/>
      <c r="C79" s="6"/>
      <c r="D79" s="6"/>
      <c r="E79" s="6"/>
      <c r="F79" s="6"/>
      <c r="H79" s="6"/>
      <c r="I79" s="6"/>
      <c r="J79" s="6"/>
      <c r="K79" s="6"/>
      <c r="L79" s="6"/>
      <c r="M79" s="6"/>
      <c r="N79" s="6"/>
      <c r="O79" s="6"/>
    </row>
    <row r="80" spans="1:15">
      <c r="A80" s="6"/>
      <c r="B80" s="6"/>
      <c r="C80" s="6"/>
      <c r="D80" s="6"/>
      <c r="E80" s="6"/>
      <c r="F80" s="6"/>
      <c r="H80" s="6"/>
      <c r="I80" s="6"/>
      <c r="J80" s="6"/>
      <c r="K80" s="6"/>
      <c r="L80" s="6"/>
      <c r="M80" s="6"/>
      <c r="N80" s="6"/>
      <c r="O80" s="6"/>
    </row>
    <row r="81" spans="1:15">
      <c r="A81" s="6"/>
      <c r="B81" s="6"/>
      <c r="C81" s="6"/>
      <c r="D81" s="6"/>
      <c r="E81" s="6"/>
      <c r="F81" s="6"/>
      <c r="H81" s="6"/>
      <c r="I81" s="6"/>
      <c r="J81" s="6"/>
      <c r="K81" s="6"/>
      <c r="L81" s="6"/>
      <c r="M81" s="6"/>
      <c r="N81" s="6"/>
      <c r="O81" s="6"/>
    </row>
    <row r="82" spans="1:15">
      <c r="A82" s="6"/>
      <c r="B82" s="6"/>
      <c r="C82" s="6"/>
      <c r="D82" s="6"/>
      <c r="E82" s="6"/>
      <c r="F82" s="6"/>
      <c r="H82" s="6"/>
      <c r="I82" s="6"/>
      <c r="J82" s="6"/>
      <c r="K82" s="6"/>
      <c r="L82" s="6"/>
      <c r="M82" s="6"/>
      <c r="N82" s="6"/>
      <c r="O82" s="6"/>
    </row>
    <row r="83" spans="1:15">
      <c r="A83" s="6"/>
      <c r="B83" s="6"/>
      <c r="C83" s="6"/>
      <c r="D83" s="6"/>
      <c r="E83" s="6"/>
      <c r="F83" s="6"/>
      <c r="H83" s="6"/>
      <c r="I83" s="6"/>
      <c r="J83" s="6"/>
      <c r="K83" s="6"/>
      <c r="L83" s="6"/>
      <c r="M83" s="6"/>
      <c r="N83" s="6"/>
      <c r="O83" s="6"/>
    </row>
    <row r="84" spans="1:15">
      <c r="A84" s="6"/>
      <c r="B84" s="6"/>
      <c r="C84" s="6"/>
      <c r="D84" s="6"/>
      <c r="E84" s="6"/>
      <c r="F84" s="6"/>
      <c r="H84" s="6"/>
      <c r="I84" s="6"/>
      <c r="J84" s="6"/>
      <c r="K84" s="6"/>
      <c r="L84" s="6"/>
      <c r="M84" s="6"/>
      <c r="N84" s="6"/>
      <c r="O84" s="6"/>
    </row>
    <row r="85" spans="1:15">
      <c r="A85" s="6"/>
      <c r="B85" s="6"/>
      <c r="C85" s="6"/>
      <c r="D85" s="6"/>
      <c r="E85" s="6"/>
      <c r="F85" s="6"/>
      <c r="H85" s="6"/>
      <c r="I85" s="6"/>
      <c r="J85" s="6"/>
      <c r="K85" s="6"/>
      <c r="L85" s="6"/>
      <c r="M85" s="6"/>
      <c r="N85" s="6"/>
      <c r="O85" s="6"/>
    </row>
    <row r="86" spans="1:15">
      <c r="A86" s="6"/>
      <c r="B86" s="6"/>
      <c r="C86" s="6"/>
      <c r="D86" s="6"/>
      <c r="E86" s="6"/>
      <c r="F86" s="6"/>
      <c r="H86" s="6"/>
      <c r="I86" s="6"/>
      <c r="J86" s="6"/>
      <c r="K86" s="6"/>
      <c r="L86" s="6"/>
      <c r="M86" s="6"/>
      <c r="N86" s="6"/>
      <c r="O86" s="6"/>
    </row>
    <row r="87" spans="1:15">
      <c r="A87" s="6"/>
      <c r="B87" s="6"/>
      <c r="C87" s="6"/>
      <c r="D87" s="6"/>
      <c r="E87" s="6"/>
      <c r="F87" s="6"/>
      <c r="H87" s="6"/>
      <c r="I87" s="6"/>
      <c r="J87" s="6"/>
      <c r="K87" s="6"/>
      <c r="L87" s="6"/>
      <c r="M87" s="6"/>
      <c r="N87" s="6"/>
      <c r="O87" s="6"/>
    </row>
    <row r="88" spans="1:15">
      <c r="A88" s="6"/>
      <c r="B88" s="6"/>
      <c r="C88" s="6"/>
      <c r="D88" s="6"/>
      <c r="E88" s="6"/>
      <c r="F88" s="6"/>
      <c r="H88" s="6"/>
      <c r="I88" s="6"/>
      <c r="J88" s="6"/>
      <c r="K88" s="6"/>
      <c r="L88" s="6"/>
      <c r="M88" s="6"/>
      <c r="N88" s="6"/>
      <c r="O88" s="6"/>
    </row>
    <row r="89" spans="1:15">
      <c r="A89" s="6"/>
      <c r="B89" s="6"/>
      <c r="C89" s="6"/>
      <c r="D89" s="6"/>
      <c r="E89" s="6"/>
      <c r="F89" s="6"/>
      <c r="H89" s="6"/>
      <c r="I89" s="6"/>
      <c r="J89" s="6"/>
      <c r="K89" s="6"/>
      <c r="L89" s="6"/>
      <c r="M89" s="6"/>
      <c r="N89" s="6"/>
      <c r="O89" s="6"/>
    </row>
    <row r="90" spans="1:15">
      <c r="A90" s="6"/>
      <c r="B90" s="6"/>
      <c r="C90" s="6"/>
      <c r="D90" s="6"/>
      <c r="E90" s="6"/>
      <c r="F90" s="6"/>
      <c r="H90" s="6"/>
      <c r="I90" s="6"/>
      <c r="J90" s="6"/>
      <c r="K90" s="6"/>
      <c r="L90" s="6"/>
      <c r="M90" s="6"/>
      <c r="N90" s="6"/>
      <c r="O90" s="6"/>
    </row>
    <row r="91" spans="1:15">
      <c r="A91" s="6"/>
      <c r="B91" s="6"/>
      <c r="C91" s="6"/>
      <c r="D91" s="6"/>
      <c r="E91" s="6"/>
      <c r="F91" s="6"/>
      <c r="H91" s="6"/>
      <c r="I91" s="6"/>
      <c r="J91" s="6"/>
      <c r="K91" s="6"/>
      <c r="L91" s="6"/>
      <c r="M91" s="6"/>
      <c r="N91" s="6"/>
      <c r="O91" s="6"/>
    </row>
    <row r="92" spans="1:15">
      <c r="A92" s="6"/>
      <c r="B92" s="6"/>
      <c r="C92" s="6"/>
      <c r="D92" s="6"/>
      <c r="E92" s="6"/>
      <c r="F92" s="6"/>
      <c r="H92" s="6"/>
      <c r="I92" s="6"/>
      <c r="J92" s="6"/>
      <c r="K92" s="6"/>
      <c r="L92" s="6"/>
      <c r="M92" s="6"/>
      <c r="N92" s="6"/>
      <c r="O92" s="6"/>
    </row>
    <row r="93" spans="1:15">
      <c r="A93" s="6"/>
      <c r="B93" s="6"/>
      <c r="C93" s="6"/>
      <c r="D93" s="6"/>
      <c r="E93" s="6"/>
      <c r="F93" s="6"/>
      <c r="H93" s="6"/>
      <c r="I93" s="6"/>
      <c r="J93" s="6"/>
      <c r="K93" s="6"/>
      <c r="L93" s="6"/>
      <c r="M93" s="6"/>
      <c r="N93" s="6"/>
      <c r="O93" s="6"/>
    </row>
    <row r="94" spans="1:15">
      <c r="A94" s="6"/>
      <c r="B94" s="6"/>
      <c r="C94" s="6"/>
      <c r="D94" s="6"/>
      <c r="E94" s="6"/>
      <c r="F94" s="6"/>
      <c r="H94" s="6"/>
      <c r="I94" s="6"/>
      <c r="J94" s="6"/>
      <c r="K94" s="6"/>
      <c r="L94" s="6"/>
      <c r="M94" s="6"/>
      <c r="N94" s="6"/>
      <c r="O94" s="6"/>
    </row>
  </sheetData>
  <mergeCells count="5">
    <mergeCell ref="A1:O1"/>
    <mergeCell ref="A16:O16"/>
    <mergeCell ref="A23:O23"/>
    <mergeCell ref="A46:O46"/>
    <mergeCell ref="A3:O3"/>
  </mergeCells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84"/>
  <sheetViews>
    <sheetView zoomScale="125" zoomScaleNormal="125" workbookViewId="0">
      <pane xSplit="1" ySplit="2" topLeftCell="B17" activePane="bottomRight" state="frozen"/>
      <selection pane="topRight"/>
      <selection pane="bottomLeft"/>
      <selection pane="bottomRight" activeCell="J31" sqref="J31:J41"/>
    </sheetView>
  </sheetViews>
  <sheetFormatPr baseColWidth="10" defaultColWidth="10.83203125" defaultRowHeight="13"/>
  <cols>
    <col min="1" max="1" width="14.1640625" style="8" customWidth="1"/>
    <col min="2" max="2" width="10.83203125" style="8"/>
    <col min="3" max="7" width="10.83203125" style="71"/>
    <col min="8" max="8" width="11.83203125" style="8" customWidth="1"/>
    <col min="9" max="16384" width="10.83203125" style="8"/>
  </cols>
  <sheetData>
    <row r="1" spans="1:13" s="2" customFormat="1" ht="14" thickBot="1">
      <c r="A1" s="112" t="s">
        <v>164</v>
      </c>
      <c r="B1" s="112"/>
      <c r="C1" s="117"/>
      <c r="D1" s="117"/>
      <c r="E1" s="117"/>
      <c r="F1" s="117"/>
      <c r="G1" s="117"/>
      <c r="H1" s="112"/>
      <c r="I1" s="112"/>
      <c r="J1" s="112"/>
      <c r="K1" s="112"/>
      <c r="L1" s="112"/>
      <c r="M1" s="112"/>
    </row>
    <row r="2" spans="1:13" s="9" customFormat="1" ht="63" thickBot="1">
      <c r="A2" s="14" t="s">
        <v>78</v>
      </c>
      <c r="B2" s="14" t="s">
        <v>396</v>
      </c>
      <c r="C2" s="15" t="s">
        <v>397</v>
      </c>
      <c r="D2" s="15" t="s">
        <v>398</v>
      </c>
      <c r="E2" s="15" t="s">
        <v>399</v>
      </c>
      <c r="F2" s="16" t="s">
        <v>106</v>
      </c>
      <c r="G2" s="16" t="s">
        <v>400</v>
      </c>
      <c r="H2" s="14" t="s">
        <v>165</v>
      </c>
      <c r="I2" s="17" t="s">
        <v>107</v>
      </c>
      <c r="J2" s="17" t="s">
        <v>169</v>
      </c>
      <c r="K2" s="17" t="s">
        <v>401</v>
      </c>
      <c r="L2" s="17" t="s">
        <v>402</v>
      </c>
    </row>
    <row r="3" spans="1:13" s="22" customFormat="1">
      <c r="A3" s="120" t="s">
        <v>194</v>
      </c>
      <c r="B3" s="120"/>
      <c r="C3" s="121"/>
      <c r="D3" s="121"/>
      <c r="E3" s="121"/>
      <c r="F3" s="121"/>
      <c r="G3" s="121"/>
      <c r="H3" s="120"/>
      <c r="I3" s="120"/>
      <c r="J3" s="120"/>
      <c r="K3" s="120"/>
      <c r="L3" s="120"/>
    </row>
    <row r="4" spans="1:13" s="9" customFormat="1" ht="14">
      <c r="A4" s="26" t="s">
        <v>195</v>
      </c>
      <c r="B4" s="21">
        <v>2579</v>
      </c>
      <c r="C4" s="64">
        <v>4.4420000000000001E-2</v>
      </c>
      <c r="D4" s="64">
        <v>1.3190000000000001E-3</v>
      </c>
      <c r="E4" s="64">
        <v>0.28137299999999998</v>
      </c>
      <c r="F4" s="64">
        <v>4.8000000000000001E-5</v>
      </c>
      <c r="G4" s="64">
        <f t="shared" ref="G4:G10" si="0">E4-D4*(EXP(1.867*B4*0.00001)-1)</f>
        <v>0.28130793640852814</v>
      </c>
      <c r="H4" s="2">
        <v>2606</v>
      </c>
      <c r="I4" s="65">
        <f t="shared" ref="I4:I10" si="1">(E4/0.282772-1)*10000</f>
        <v>-49.474488280312201</v>
      </c>
      <c r="J4" s="65">
        <v>6.7762906436530379</v>
      </c>
      <c r="K4" s="66">
        <f t="shared" ref="K4:K10" si="2">(LN(1+((E4-0.28325)/(D4-0.0384)))/1.867/10^(-5))</f>
        <v>2644.8545101291315</v>
      </c>
      <c r="L4" s="6">
        <f t="shared" ref="L4:L10" si="3">D4/0.0332-1</f>
        <v>-0.96027108433734942</v>
      </c>
    </row>
    <row r="5" spans="1:13" s="9" customFormat="1" ht="14">
      <c r="A5" s="26" t="s">
        <v>196</v>
      </c>
      <c r="B5" s="21">
        <v>2619</v>
      </c>
      <c r="C5" s="64">
        <v>2.0159E-2</v>
      </c>
      <c r="D5" s="64">
        <v>5.463E-4</v>
      </c>
      <c r="E5" s="64">
        <v>0.28126000000000001</v>
      </c>
      <c r="F5" s="64">
        <v>3.8999999999999999E-5</v>
      </c>
      <c r="G5" s="64">
        <f t="shared" si="0"/>
        <v>0.28123262386898396</v>
      </c>
      <c r="H5" s="2">
        <v>2606</v>
      </c>
      <c r="I5" s="65">
        <f t="shared" si="1"/>
        <v>-53.470640657491408</v>
      </c>
      <c r="J5" s="65">
        <v>4.1270194010145644</v>
      </c>
      <c r="K5" s="66">
        <f t="shared" si="2"/>
        <v>2744.2726561848185</v>
      </c>
      <c r="L5" s="6">
        <f t="shared" si="3"/>
        <v>-0.98354518072289154</v>
      </c>
    </row>
    <row r="6" spans="1:13" s="9" customFormat="1" ht="14">
      <c r="A6" s="26" t="s">
        <v>197</v>
      </c>
      <c r="B6" s="21">
        <v>2616</v>
      </c>
      <c r="C6" s="64">
        <v>4.9950000000000001E-2</v>
      </c>
      <c r="D6" s="64">
        <v>1.4920000000000001E-3</v>
      </c>
      <c r="E6" s="64">
        <v>0.28135100000000002</v>
      </c>
      <c r="F6" s="64">
        <v>4.8999999999999998E-5</v>
      </c>
      <c r="G6" s="64">
        <f t="shared" si="0"/>
        <v>0.2812763207972338</v>
      </c>
      <c r="H6" s="2">
        <v>2606</v>
      </c>
      <c r="I6" s="65">
        <f t="shared" si="1"/>
        <v>-50.25250024754957</v>
      </c>
      <c r="J6" s="65">
        <v>5.6868759585659845</v>
      </c>
      <c r="K6" s="66">
        <f t="shared" si="2"/>
        <v>2687.322603733111</v>
      </c>
      <c r="L6" s="6">
        <f t="shared" si="3"/>
        <v>-0.95506024096385544</v>
      </c>
    </row>
    <row r="7" spans="1:13" s="9" customFormat="1" ht="14">
      <c r="A7" s="26" t="s">
        <v>198</v>
      </c>
      <c r="B7" s="2">
        <v>2536</v>
      </c>
      <c r="C7" s="64">
        <v>1.5720000000000001E-2</v>
      </c>
      <c r="D7" s="64">
        <v>4.9160000000000002E-4</v>
      </c>
      <c r="E7" s="64">
        <v>0.28129399999999999</v>
      </c>
      <c r="F7" s="64">
        <v>4.0000000000000003E-5</v>
      </c>
      <c r="G7" s="64">
        <f t="shared" si="0"/>
        <v>0.28127016433335722</v>
      </c>
      <c r="H7" s="2">
        <v>2606</v>
      </c>
      <c r="I7" s="65">
        <f t="shared" si="1"/>
        <v>-52.268258526304564</v>
      </c>
      <c r="J7" s="65">
        <v>5.4334937273758932</v>
      </c>
      <c r="K7" s="66">
        <f t="shared" si="2"/>
        <v>2694.7494177865565</v>
      </c>
      <c r="L7" s="6">
        <f t="shared" si="3"/>
        <v>-0.98519277108433734</v>
      </c>
    </row>
    <row r="8" spans="1:13" s="9" customFormat="1" ht="14">
      <c r="A8" s="26" t="s">
        <v>199</v>
      </c>
      <c r="B8" s="21">
        <v>2606</v>
      </c>
      <c r="C8" s="64">
        <v>2.9270000000000001E-2</v>
      </c>
      <c r="D8" s="64">
        <v>9.3869999999999999E-4</v>
      </c>
      <c r="E8" s="64">
        <v>0.28134599999999998</v>
      </c>
      <c r="F8" s="64">
        <v>4.6999999999999997E-5</v>
      </c>
      <c r="G8" s="64">
        <f t="shared" si="0"/>
        <v>0.28129919917932433</v>
      </c>
      <c r="H8" s="2">
        <v>2606</v>
      </c>
      <c r="I8" s="65">
        <f t="shared" si="1"/>
        <v>-50.429321149195736</v>
      </c>
      <c r="J8" s="65">
        <v>6.4903112122416395</v>
      </c>
      <c r="K8" s="66">
        <f t="shared" si="2"/>
        <v>2655.3999728326312</v>
      </c>
      <c r="L8" s="6">
        <f t="shared" si="3"/>
        <v>-0.97172590361445788</v>
      </c>
    </row>
    <row r="9" spans="1:13" s="9" customFormat="1" ht="14">
      <c r="A9" s="26" t="s">
        <v>200</v>
      </c>
      <c r="B9" s="21">
        <v>2605</v>
      </c>
      <c r="C9" s="64">
        <v>1.116E-2</v>
      </c>
      <c r="D9" s="64">
        <v>3.5790000000000003E-4</v>
      </c>
      <c r="E9" s="64">
        <v>0.28124399999999999</v>
      </c>
      <c r="F9" s="64">
        <v>4.1999999999999998E-5</v>
      </c>
      <c r="G9" s="64">
        <f t="shared" si="0"/>
        <v>0.2812261631738876</v>
      </c>
      <c r="H9" s="2">
        <v>2606</v>
      </c>
      <c r="I9" s="65">
        <f t="shared" si="1"/>
        <v>-54.036467542756263</v>
      </c>
      <c r="J9" s="65">
        <v>3.8919949740345849</v>
      </c>
      <c r="K9" s="66">
        <f t="shared" si="2"/>
        <v>2752.4258430172058</v>
      </c>
      <c r="L9" s="6">
        <f t="shared" si="3"/>
        <v>-0.98921987951807233</v>
      </c>
    </row>
    <row r="10" spans="1:13" s="9" customFormat="1" ht="14">
      <c r="A10" s="26" t="s">
        <v>201</v>
      </c>
      <c r="B10" s="21">
        <v>2584</v>
      </c>
      <c r="C10" s="64">
        <v>3.049E-2</v>
      </c>
      <c r="D10" s="64">
        <v>9.41E-4</v>
      </c>
      <c r="E10" s="64">
        <v>0.281393</v>
      </c>
      <c r="F10" s="64">
        <v>3.6999999999999998E-5</v>
      </c>
      <c r="G10" s="64">
        <f t="shared" si="0"/>
        <v>0.28134649020117641</v>
      </c>
      <c r="H10" s="2">
        <v>2606</v>
      </c>
      <c r="I10" s="65">
        <f t="shared" si="1"/>
        <v>-48.767204673730859</v>
      </c>
      <c r="J10" s="65">
        <v>8.1581353276405366</v>
      </c>
      <c r="K10" s="66">
        <f t="shared" si="2"/>
        <v>2591.5671765530938</v>
      </c>
      <c r="L10" s="6">
        <f t="shared" si="3"/>
        <v>-0.97165662650602413</v>
      </c>
    </row>
    <row r="11" spans="1:13" s="22" customFormat="1" ht="16" customHeight="1">
      <c r="A11" s="19" t="s">
        <v>181</v>
      </c>
      <c r="B11" s="20"/>
      <c r="C11" s="25"/>
      <c r="D11" s="25"/>
      <c r="E11" s="25"/>
      <c r="F11" s="25"/>
      <c r="G11" s="25"/>
      <c r="H11" s="20"/>
      <c r="I11" s="20"/>
      <c r="J11" s="20"/>
      <c r="K11" s="20"/>
      <c r="L11" s="20"/>
    </row>
    <row r="12" spans="1:13">
      <c r="A12" s="2" t="s">
        <v>108</v>
      </c>
      <c r="B12" s="2">
        <v>2458</v>
      </c>
      <c r="C12" s="64">
        <v>2.3012999999999999E-2</v>
      </c>
      <c r="D12" s="64">
        <v>5.5219999999999998E-4</v>
      </c>
      <c r="E12" s="67">
        <v>0.28133799999999998</v>
      </c>
      <c r="F12" s="64">
        <v>6.4999999999999994E-5</v>
      </c>
      <c r="G12" s="64">
        <f t="shared" ref="G12:G23" si="4">(E12-D12*(EXP(0.00001867*B12)-1))</f>
        <v>0.28131206861097269</v>
      </c>
      <c r="H12" s="2">
        <v>2502</v>
      </c>
      <c r="I12" s="65">
        <f t="shared" ref="I12:I23" si="5">(E12/0.282772-1)*10000</f>
        <v>-50.712234591828718</v>
      </c>
      <c r="J12" s="65">
        <f t="shared" ref="J12:J23" si="6">10000*((E12-D12*(EXP(1.867*H12*0.00001)-1))/(0.282772-0.0332*(EXP(1.867*H12*0.00001)-1))-1)</f>
        <v>4.5249935779478889</v>
      </c>
      <c r="K12" s="66">
        <f t="shared" ref="K12:K23" si="7">(LN(1+((E12-0.28325)/(D12-0.0384)))/1.867/10^(-5))</f>
        <v>2639.7159922242117</v>
      </c>
      <c r="L12" s="6">
        <f t="shared" ref="L12:L23" si="8">D12/0.0332-1</f>
        <v>-0.98336746987951806</v>
      </c>
    </row>
    <row r="13" spans="1:13">
      <c r="A13" s="2" t="s">
        <v>109</v>
      </c>
      <c r="B13" s="2">
        <v>2478</v>
      </c>
      <c r="C13" s="64">
        <v>1.507E-2</v>
      </c>
      <c r="D13" s="64">
        <v>3.7080000000000001E-4</v>
      </c>
      <c r="E13" s="67">
        <v>0.28132099999999999</v>
      </c>
      <c r="F13" s="64">
        <v>7.4999999999999993E-5</v>
      </c>
      <c r="G13" s="64">
        <f t="shared" si="4"/>
        <v>0.28130344219454245</v>
      </c>
      <c r="H13" s="2">
        <v>2502</v>
      </c>
      <c r="I13" s="65">
        <f t="shared" si="5"/>
        <v>-51.313425657421028</v>
      </c>
      <c r="J13" s="65">
        <f t="shared" si="6"/>
        <v>4.2289119481719872</v>
      </c>
      <c r="K13" s="66">
        <f t="shared" si="7"/>
        <v>2650.2207833975904</v>
      </c>
      <c r="L13" s="6">
        <f t="shared" si="8"/>
        <v>-0.98883132530120477</v>
      </c>
    </row>
    <row r="14" spans="1:13">
      <c r="A14" s="2" t="s">
        <v>110</v>
      </c>
      <c r="B14" s="2">
        <v>2482</v>
      </c>
      <c r="C14" s="64">
        <v>1.7819999999999999E-2</v>
      </c>
      <c r="D14" s="64">
        <v>4.4509999999999998E-4</v>
      </c>
      <c r="E14" s="67">
        <v>0.281308</v>
      </c>
      <c r="F14" s="64">
        <v>6.6000000000000005E-5</v>
      </c>
      <c r="G14" s="64">
        <f t="shared" si="4"/>
        <v>0.28128688918896699</v>
      </c>
      <c r="H14" s="2">
        <v>2502</v>
      </c>
      <c r="I14" s="65">
        <f t="shared" si="5"/>
        <v>-51.77316000169796</v>
      </c>
      <c r="J14" s="65">
        <f t="shared" si="6"/>
        <v>3.6402210632191512</v>
      </c>
      <c r="K14" s="66">
        <f t="shared" si="7"/>
        <v>2672.7377544510086</v>
      </c>
      <c r="L14" s="6">
        <f t="shared" si="8"/>
        <v>-0.98659337349397591</v>
      </c>
    </row>
    <row r="15" spans="1:13">
      <c r="A15" s="2" t="s">
        <v>111</v>
      </c>
      <c r="B15" s="2">
        <v>2482</v>
      </c>
      <c r="C15" s="64">
        <v>1.231E-2</v>
      </c>
      <c r="D15" s="64">
        <v>3.0150000000000001E-4</v>
      </c>
      <c r="E15" s="67">
        <v>0.281304</v>
      </c>
      <c r="F15" s="64">
        <v>5.3999999999999998E-5</v>
      </c>
      <c r="G15" s="64">
        <f t="shared" si="4"/>
        <v>0.28128970004599763</v>
      </c>
      <c r="H15" s="2">
        <v>2502</v>
      </c>
      <c r="I15" s="65">
        <f t="shared" si="5"/>
        <v>-51.914616723014447</v>
      </c>
      <c r="J15" s="65">
        <f t="shared" si="6"/>
        <v>3.7421837383333489</v>
      </c>
      <c r="K15" s="66">
        <f t="shared" si="7"/>
        <v>2668.2605498393018</v>
      </c>
      <c r="L15" s="6">
        <f t="shared" si="8"/>
        <v>-0.99091867469879513</v>
      </c>
    </row>
    <row r="16" spans="1:13">
      <c r="A16" s="2" t="s">
        <v>112</v>
      </c>
      <c r="B16" s="2">
        <v>2453</v>
      </c>
      <c r="C16" s="64">
        <v>1.4903E-2</v>
      </c>
      <c r="D16" s="64">
        <v>3.6830000000000001E-4</v>
      </c>
      <c r="E16" s="67">
        <v>0.28127600000000003</v>
      </c>
      <c r="F16" s="64">
        <v>6.3E-5</v>
      </c>
      <c r="G16" s="64">
        <f t="shared" si="4"/>
        <v>0.28125874057427763</v>
      </c>
      <c r="H16" s="2">
        <v>2502</v>
      </c>
      <c r="I16" s="65">
        <f t="shared" si="5"/>
        <v>-52.904813772226554</v>
      </c>
      <c r="J16" s="65">
        <f t="shared" si="6"/>
        <v>2.6327901373890406</v>
      </c>
      <c r="K16" s="66">
        <f t="shared" si="7"/>
        <v>2710.3332334914057</v>
      </c>
      <c r="L16" s="6">
        <f t="shared" si="8"/>
        <v>-0.98890662650602412</v>
      </c>
    </row>
    <row r="17" spans="1:12">
      <c r="A17" s="2" t="s">
        <v>113</v>
      </c>
      <c r="B17" s="2">
        <v>2447</v>
      </c>
      <c r="C17" s="64">
        <v>1.4322E-2</v>
      </c>
      <c r="D17" s="64">
        <v>3.5730000000000001E-4</v>
      </c>
      <c r="E17" s="67">
        <v>0.281333</v>
      </c>
      <c r="F17" s="64">
        <v>5.8E-5</v>
      </c>
      <c r="G17" s="64">
        <f t="shared" si="4"/>
        <v>0.2813162979588465</v>
      </c>
      <c r="H17" s="2">
        <v>2502</v>
      </c>
      <c r="I17" s="65">
        <f t="shared" si="5"/>
        <v>-50.889055493472668</v>
      </c>
      <c r="J17" s="65">
        <f t="shared" si="6"/>
        <v>4.678637442208089</v>
      </c>
      <c r="K17" s="66">
        <f t="shared" si="7"/>
        <v>2633.2208445798856</v>
      </c>
      <c r="L17" s="6">
        <f t="shared" si="8"/>
        <v>-0.98923795180722895</v>
      </c>
    </row>
    <row r="18" spans="1:12">
      <c r="A18" s="2" t="s">
        <v>114</v>
      </c>
      <c r="B18" s="2">
        <v>2373</v>
      </c>
      <c r="C18" s="64">
        <v>1.265E-2</v>
      </c>
      <c r="D18" s="64">
        <v>3.1500000000000001E-4</v>
      </c>
      <c r="E18" s="67">
        <v>0.28132000000000001</v>
      </c>
      <c r="F18" s="64">
        <v>5.7000000000000003E-5</v>
      </c>
      <c r="G18" s="64">
        <f t="shared" si="4"/>
        <v>0.28130573050512231</v>
      </c>
      <c r="H18" s="2">
        <v>2502</v>
      </c>
      <c r="I18" s="65">
        <f t="shared" si="5"/>
        <v>-51.348789837749599</v>
      </c>
      <c r="J18" s="65">
        <f t="shared" si="6"/>
        <v>4.2882462114501863</v>
      </c>
      <c r="K18" s="66">
        <f t="shared" si="7"/>
        <v>2647.7707549147181</v>
      </c>
      <c r="L18" s="6">
        <f t="shared" si="8"/>
        <v>-0.99051204819277106</v>
      </c>
    </row>
    <row r="19" spans="1:12">
      <c r="A19" s="2" t="s">
        <v>115</v>
      </c>
      <c r="B19" s="2">
        <v>2496</v>
      </c>
      <c r="C19" s="64">
        <v>2.1489999999999999E-2</v>
      </c>
      <c r="D19" s="64">
        <v>5.44E-4</v>
      </c>
      <c r="E19" s="67">
        <v>0.28133200000000003</v>
      </c>
      <c r="F19" s="64">
        <v>5.3000000000000001E-5</v>
      </c>
      <c r="G19" s="64">
        <f t="shared" si="4"/>
        <v>0.28130604947041754</v>
      </c>
      <c r="H19" s="2">
        <v>2502</v>
      </c>
      <c r="I19" s="65">
        <f t="shared" si="5"/>
        <v>-50.924419673801239</v>
      </c>
      <c r="J19" s="65">
        <f t="shared" si="6"/>
        <v>4.3255560438848484</v>
      </c>
      <c r="K19" s="66">
        <f t="shared" si="7"/>
        <v>2647.2386015711054</v>
      </c>
      <c r="L19" s="6">
        <f t="shared" si="8"/>
        <v>-0.98361445783132528</v>
      </c>
    </row>
    <row r="20" spans="1:12">
      <c r="A20" s="2" t="s">
        <v>116</v>
      </c>
      <c r="B20" s="2">
        <v>2544</v>
      </c>
      <c r="C20" s="64">
        <v>1.9259999999999999E-2</v>
      </c>
      <c r="D20" s="64">
        <v>4.7320000000000001E-4</v>
      </c>
      <c r="E20" s="67">
        <v>0.28126699999999999</v>
      </c>
      <c r="F20" s="64">
        <v>6.0000000000000002E-5</v>
      </c>
      <c r="G20" s="64">
        <f t="shared" si="4"/>
        <v>0.28124398236431852</v>
      </c>
      <c r="H20" s="2">
        <v>2502</v>
      </c>
      <c r="I20" s="65">
        <f t="shared" si="5"/>
        <v>-53.223091395189215</v>
      </c>
      <c r="J20" s="65">
        <f t="shared" si="6"/>
        <v>2.1343137722062977</v>
      </c>
      <c r="K20" s="66">
        <f t="shared" si="7"/>
        <v>2729.7226335387245</v>
      </c>
      <c r="L20" s="6">
        <f t="shared" si="8"/>
        <v>-0.98574698795180726</v>
      </c>
    </row>
    <row r="21" spans="1:12">
      <c r="A21" s="2" t="s">
        <v>117</v>
      </c>
      <c r="B21" s="2">
        <v>2529</v>
      </c>
      <c r="C21" s="64">
        <v>1.069E-2</v>
      </c>
      <c r="D21" s="64">
        <v>2.6870000000000003E-4</v>
      </c>
      <c r="E21" s="67">
        <v>0.28128700000000001</v>
      </c>
      <c r="F21" s="64">
        <v>6.0999999999999999E-5</v>
      </c>
      <c r="G21" s="64">
        <f t="shared" si="4"/>
        <v>0.28127400865629981</v>
      </c>
      <c r="H21" s="2">
        <v>2502</v>
      </c>
      <c r="I21" s="65">
        <f t="shared" si="5"/>
        <v>-52.515807788607873</v>
      </c>
      <c r="J21" s="65">
        <f t="shared" si="6"/>
        <v>3.1933805938599846</v>
      </c>
      <c r="K21" s="66">
        <f t="shared" si="7"/>
        <v>2688.7366038027722</v>
      </c>
      <c r="L21" s="6">
        <f t="shared" si="8"/>
        <v>-0.99190662650602412</v>
      </c>
    </row>
    <row r="22" spans="1:12">
      <c r="A22" s="2" t="s">
        <v>118</v>
      </c>
      <c r="B22" s="2">
        <v>2393</v>
      </c>
      <c r="C22" s="64">
        <v>1.1705999999999999E-2</v>
      </c>
      <c r="D22" s="64">
        <v>3.012E-4</v>
      </c>
      <c r="E22" s="67">
        <v>0.28128500000000001</v>
      </c>
      <c r="F22" s="64">
        <v>6.0999999999999999E-5</v>
      </c>
      <c r="G22" s="64">
        <f t="shared" si="4"/>
        <v>0.28127123806006399</v>
      </c>
      <c r="H22" s="2">
        <v>2502</v>
      </c>
      <c r="I22" s="65">
        <f t="shared" si="5"/>
        <v>-52.586536149266117</v>
      </c>
      <c r="J22" s="65">
        <f t="shared" si="6"/>
        <v>3.0669806798488963</v>
      </c>
      <c r="K22" s="66">
        <f t="shared" si="7"/>
        <v>2693.647449316647</v>
      </c>
      <c r="L22" s="6">
        <f t="shared" si="8"/>
        <v>-0.9909277108433735</v>
      </c>
    </row>
    <row r="23" spans="1:12">
      <c r="A23" s="2" t="s">
        <v>119</v>
      </c>
      <c r="B23" s="2">
        <v>2488</v>
      </c>
      <c r="C23" s="64">
        <v>1.9089999999999999E-2</v>
      </c>
      <c r="D23" s="64">
        <v>4.7560000000000001E-4</v>
      </c>
      <c r="E23" s="67">
        <v>0.28129199999999999</v>
      </c>
      <c r="F23" s="64">
        <v>6.3E-5</v>
      </c>
      <c r="G23" s="64">
        <f t="shared" si="4"/>
        <v>0.2812693867865701</v>
      </c>
      <c r="H23" s="2">
        <v>2502</v>
      </c>
      <c r="I23" s="65">
        <f t="shared" si="5"/>
        <v>-52.338986886962815</v>
      </c>
      <c r="J23" s="65">
        <f t="shared" si="6"/>
        <v>3.0193285319124463</v>
      </c>
      <c r="K23" s="66">
        <f t="shared" si="7"/>
        <v>2696.3266959714456</v>
      </c>
      <c r="L23" s="6">
        <f t="shared" si="8"/>
        <v>-0.98567469879518077</v>
      </c>
    </row>
    <row r="24" spans="1:12" s="22" customFormat="1" ht="16" customHeight="1">
      <c r="A24" s="19" t="s">
        <v>255</v>
      </c>
      <c r="B24" s="19"/>
      <c r="C24" s="29"/>
      <c r="D24" s="29"/>
      <c r="E24" s="29"/>
      <c r="F24" s="29"/>
      <c r="G24" s="29"/>
      <c r="H24" s="19"/>
      <c r="I24" s="19"/>
      <c r="J24" s="19"/>
      <c r="K24" s="19"/>
      <c r="L24" s="19"/>
    </row>
    <row r="25" spans="1:12" s="9" customFormat="1" ht="14">
      <c r="A25" s="26" t="s">
        <v>228</v>
      </c>
      <c r="B25" s="2">
        <v>2535</v>
      </c>
      <c r="C25" s="64">
        <v>6.4200000000000004E-3</v>
      </c>
      <c r="D25" s="64">
        <v>2.5280000000000002E-4</v>
      </c>
      <c r="E25" s="64">
        <v>0.28143499999999999</v>
      </c>
      <c r="F25" s="64">
        <v>3.6000000000000001E-5</v>
      </c>
      <c r="G25" s="64">
        <v>0.28142274771397657</v>
      </c>
      <c r="H25" s="2">
        <v>2544</v>
      </c>
      <c r="I25" s="65">
        <v>-47.281909099912141</v>
      </c>
      <c r="J25" s="65">
        <v>9.4479040917150314</v>
      </c>
      <c r="K25" s="66">
        <v>2489.6436410492111</v>
      </c>
      <c r="L25" s="6">
        <v>-0.99238554216867469</v>
      </c>
    </row>
    <row r="26" spans="1:12" s="9" customFormat="1">
      <c r="A26" s="2" t="s">
        <v>229</v>
      </c>
      <c r="B26" s="2">
        <v>2503</v>
      </c>
      <c r="C26" s="64">
        <v>1.8589999999999999E-2</v>
      </c>
      <c r="D26" s="64">
        <v>6.8999999999999997E-4</v>
      </c>
      <c r="E26" s="64">
        <v>0.28144200000000003</v>
      </c>
      <c r="F26" s="64">
        <v>3.8999999999999999E-5</v>
      </c>
      <c r="G26" s="64">
        <v>0.28140899032226752</v>
      </c>
      <c r="H26" s="2">
        <v>2544</v>
      </c>
      <c r="I26" s="65">
        <v>-47.034359837607731</v>
      </c>
      <c r="J26" s="65">
        <v>8.9404829056616286</v>
      </c>
      <c r="K26" s="66">
        <v>2508.3531355843256</v>
      </c>
      <c r="L26" s="6">
        <v>-0.97921686746987957</v>
      </c>
    </row>
    <row r="27" spans="1:12" s="9" customFormat="1">
      <c r="A27" s="2" t="s">
        <v>230</v>
      </c>
      <c r="B27" s="2">
        <v>2530</v>
      </c>
      <c r="C27" s="64">
        <v>2.333E-2</v>
      </c>
      <c r="D27" s="64">
        <v>9.7900000000000005E-4</v>
      </c>
      <c r="E27" s="64">
        <v>0.28144400000000003</v>
      </c>
      <c r="F27" s="64">
        <v>5.1999999999999997E-5</v>
      </c>
      <c r="G27" s="64">
        <v>0.28139664728595004</v>
      </c>
      <c r="H27" s="2">
        <v>2544</v>
      </c>
      <c r="I27" s="65">
        <v>-46.963631476949487</v>
      </c>
      <c r="J27" s="65">
        <v>8.5116234992077544</v>
      </c>
      <c r="K27" s="66">
        <v>2524.5442444340079</v>
      </c>
      <c r="L27" s="6">
        <v>-0.97051204819277104</v>
      </c>
    </row>
    <row r="28" spans="1:12" s="9" customFormat="1">
      <c r="A28" s="2" t="s">
        <v>231</v>
      </c>
      <c r="B28" s="2">
        <v>2544</v>
      </c>
      <c r="C28" s="64">
        <v>7.4799999999999997E-3</v>
      </c>
      <c r="D28" s="64">
        <v>2.8229999999999998E-4</v>
      </c>
      <c r="E28" s="64">
        <v>0.28138000000000002</v>
      </c>
      <c r="F28" s="64">
        <v>3.8000000000000002E-5</v>
      </c>
      <c r="G28" s="64">
        <v>0.28136626821945721</v>
      </c>
      <c r="H28" s="2">
        <v>2544</v>
      </c>
      <c r="I28" s="65">
        <v>-49.226939018007783</v>
      </c>
      <c r="J28" s="65">
        <v>7.4406647109515056</v>
      </c>
      <c r="K28" s="66">
        <v>2565.2472223960208</v>
      </c>
      <c r="L28" s="6">
        <v>-0.99149698795180718</v>
      </c>
    </row>
    <row r="29" spans="1:12" s="9" customFormat="1">
      <c r="A29" s="2" t="s">
        <v>232</v>
      </c>
      <c r="B29" s="2">
        <v>2545</v>
      </c>
      <c r="C29" s="64">
        <v>2.1489999999999999E-2</v>
      </c>
      <c r="D29" s="64">
        <v>8.3940000000000002E-4</v>
      </c>
      <c r="E29" s="64">
        <v>0.28139399999999998</v>
      </c>
      <c r="F29" s="64">
        <v>3.6000000000000001E-5</v>
      </c>
      <c r="G29" s="64">
        <v>0.2813531530431384</v>
      </c>
      <c r="H29" s="2">
        <v>2544</v>
      </c>
      <c r="I29" s="65">
        <v>-48.731840493402288</v>
      </c>
      <c r="J29" s="65">
        <v>6.9747777132156408</v>
      </c>
      <c r="K29" s="66">
        <v>2583.36468758502</v>
      </c>
      <c r="L29" s="6">
        <v>-0.97471686746987951</v>
      </c>
    </row>
    <row r="30" spans="1:12" s="22" customFormat="1" ht="16" customHeight="1">
      <c r="A30" s="19" t="s">
        <v>254</v>
      </c>
      <c r="B30" s="20"/>
      <c r="C30" s="25"/>
      <c r="D30" s="25"/>
      <c r="E30" s="25"/>
      <c r="F30" s="25"/>
      <c r="G30" s="25"/>
      <c r="H30" s="20"/>
      <c r="I30" s="20"/>
      <c r="J30" s="20"/>
      <c r="K30" s="20"/>
      <c r="L30" s="20"/>
    </row>
    <row r="31" spans="1:12">
      <c r="A31" s="2" t="s">
        <v>258</v>
      </c>
      <c r="B31" s="2">
        <v>2500</v>
      </c>
      <c r="C31" s="64">
        <v>2.1000000000000001E-4</v>
      </c>
      <c r="D31" s="64">
        <v>1.0000000000000001E-5</v>
      </c>
      <c r="E31" s="67">
        <v>0.28131899999999999</v>
      </c>
      <c r="F31" s="64">
        <v>5.5000000000000002E-5</v>
      </c>
      <c r="G31" s="64">
        <v>0.28131852531521745</v>
      </c>
      <c r="H31" s="2">
        <v>2503</v>
      </c>
      <c r="I31" s="65">
        <v>-51.384154018079272</v>
      </c>
      <c r="J31" s="65">
        <v>4.7944932471399859</v>
      </c>
      <c r="K31" s="66">
        <v>2628.5707568374182</v>
      </c>
      <c r="L31" s="6">
        <v>-0.99969879518072291</v>
      </c>
    </row>
    <row r="32" spans="1:12">
      <c r="A32" s="2" t="s">
        <v>237</v>
      </c>
      <c r="B32" s="2">
        <v>2484</v>
      </c>
      <c r="C32" s="64">
        <v>7.1000000000000005E-5</v>
      </c>
      <c r="D32" s="64">
        <v>3.7000000000000002E-6</v>
      </c>
      <c r="E32" s="67">
        <v>0.28136899999999998</v>
      </c>
      <c r="F32" s="64">
        <v>4.6999999999999997E-5</v>
      </c>
      <c r="G32" s="64">
        <v>0.28136882465605195</v>
      </c>
      <c r="H32" s="2">
        <v>2503</v>
      </c>
      <c r="I32" s="65">
        <v>-49.615945001628688</v>
      </c>
      <c r="J32" s="65">
        <v>6.5834088646554711</v>
      </c>
      <c r="K32" s="66">
        <v>2561.6997340405214</v>
      </c>
      <c r="L32" s="6">
        <v>-0.99988855421686751</v>
      </c>
    </row>
    <row r="33" spans="1:12">
      <c r="A33" s="2" t="s">
        <v>213</v>
      </c>
      <c r="B33" s="2">
        <v>2480</v>
      </c>
      <c r="C33" s="64">
        <v>9.3999999999999994E-5</v>
      </c>
      <c r="D33" s="64">
        <v>3.7000000000000002E-6</v>
      </c>
      <c r="E33" s="67">
        <v>0.28138299999999999</v>
      </c>
      <c r="F33" s="64">
        <v>6.3E-5</v>
      </c>
      <c r="G33" s="64">
        <v>0.28138281741402649</v>
      </c>
      <c r="H33" s="2">
        <v>2503</v>
      </c>
      <c r="I33" s="65">
        <v>-49.120846477020976</v>
      </c>
      <c r="J33" s="65">
        <v>7.0813039982930981</v>
      </c>
      <c r="K33" s="66">
        <v>2543.0789116753208</v>
      </c>
      <c r="L33" s="6">
        <v>-0.99988855421686751</v>
      </c>
    </row>
    <row r="34" spans="1:12">
      <c r="A34" s="2" t="s">
        <v>214</v>
      </c>
      <c r="B34" s="2">
        <v>2580</v>
      </c>
      <c r="C34" s="64">
        <v>1E-3</v>
      </c>
      <c r="D34" s="64">
        <v>3.0000000000000001E-5</v>
      </c>
      <c r="E34" s="67">
        <v>0.28134999999999999</v>
      </c>
      <c r="F34" s="64">
        <v>1E-4</v>
      </c>
      <c r="G34" s="64">
        <v>0.28134856890461862</v>
      </c>
      <c r="H34" s="2">
        <v>2503</v>
      </c>
      <c r="I34" s="65">
        <v>-50.287864427879249</v>
      </c>
      <c r="J34" s="65">
        <v>5.8629476726390628</v>
      </c>
      <c r="K34" s="66">
        <v>2588.6915160418889</v>
      </c>
      <c r="L34" s="6">
        <v>-0.99909638554216873</v>
      </c>
    </row>
    <row r="35" spans="1:12">
      <c r="A35" s="2" t="s">
        <v>215</v>
      </c>
      <c r="B35" s="2">
        <v>2537</v>
      </c>
      <c r="C35" s="64">
        <v>1.5E-3</v>
      </c>
      <c r="D35" s="64">
        <v>5.8E-5</v>
      </c>
      <c r="E35" s="67">
        <v>0.28138000000000002</v>
      </c>
      <c r="F35" s="64">
        <v>1.2E-4</v>
      </c>
      <c r="G35" s="64">
        <v>0.28137721392576526</v>
      </c>
      <c r="H35" s="2">
        <v>2503</v>
      </c>
      <c r="I35" s="65">
        <v>-49.226939018007783</v>
      </c>
      <c r="J35" s="65">
        <v>6.8822270975776867</v>
      </c>
      <c r="K35" s="66">
        <v>2550.5922573816542</v>
      </c>
      <c r="L35" s="6">
        <v>-0.99825301204819272</v>
      </c>
    </row>
    <row r="36" spans="1:12">
      <c r="A36" s="2" t="s">
        <v>216</v>
      </c>
      <c r="B36" s="2">
        <v>2513</v>
      </c>
      <c r="C36" s="64">
        <v>1.1E-4</v>
      </c>
      <c r="D36" s="64">
        <v>3.1999999999999999E-6</v>
      </c>
      <c r="E36" s="67">
        <v>0.28132099999999999</v>
      </c>
      <c r="F36" s="64">
        <v>8.7999999999999998E-5</v>
      </c>
      <c r="G36" s="64">
        <v>0.28132084741241936</v>
      </c>
      <c r="H36" s="2">
        <v>2503</v>
      </c>
      <c r="I36" s="65">
        <v>-51.313425657421028</v>
      </c>
      <c r="J36" s="65">
        <v>4.8771905264533011</v>
      </c>
      <c r="K36" s="66">
        <v>2625.4600876392642</v>
      </c>
      <c r="L36" s="6">
        <v>-0.99990361445783138</v>
      </c>
    </row>
    <row r="37" spans="1:12">
      <c r="A37" s="2" t="s">
        <v>217</v>
      </c>
      <c r="B37" s="2">
        <v>2495</v>
      </c>
      <c r="C37" s="64">
        <v>2.2000000000000001E-4</v>
      </c>
      <c r="D37" s="64">
        <v>9.0999999999999993E-6</v>
      </c>
      <c r="E37" s="67">
        <v>0.28138000000000002</v>
      </c>
      <c r="F37" s="64">
        <v>1.2E-4</v>
      </c>
      <c r="G37" s="64">
        <v>0.28137957177331219</v>
      </c>
      <c r="H37" s="2">
        <v>2503</v>
      </c>
      <c r="I37" s="65">
        <v>-49.226939018007783</v>
      </c>
      <c r="J37" s="65">
        <v>6.9654247167916239</v>
      </c>
      <c r="K37" s="66">
        <v>2547.4195132969198</v>
      </c>
      <c r="L37" s="6">
        <v>-0.99972590361445779</v>
      </c>
    </row>
    <row r="38" spans="1:12">
      <c r="A38" s="2" t="s">
        <v>218</v>
      </c>
      <c r="B38" s="2">
        <v>2463</v>
      </c>
      <c r="C38" s="64">
        <v>3.2000000000000003E-4</v>
      </c>
      <c r="D38" s="64">
        <v>1.2E-5</v>
      </c>
      <c r="E38" s="67">
        <v>0.28133999999999998</v>
      </c>
      <c r="F38" s="64">
        <v>1.1E-4</v>
      </c>
      <c r="G38" s="64">
        <v>0.28133942028319125</v>
      </c>
      <c r="H38" s="2">
        <v>2503</v>
      </c>
      <c r="I38" s="65">
        <v>-50.641506231170474</v>
      </c>
      <c r="J38" s="65">
        <v>5.5379331819804811</v>
      </c>
      <c r="K38" s="66">
        <v>2600.7996343970985</v>
      </c>
      <c r="L38" s="6">
        <v>-0.99963855421686743</v>
      </c>
    </row>
    <row r="39" spans="1:12">
      <c r="A39" s="2" t="s">
        <v>219</v>
      </c>
      <c r="B39" s="2">
        <v>2527</v>
      </c>
      <c r="C39" s="64">
        <v>1.2E-4</v>
      </c>
      <c r="D39" s="64">
        <v>5.0000000000000004E-6</v>
      </c>
      <c r="E39" s="67">
        <v>0.28133200000000003</v>
      </c>
      <c r="F39" s="64">
        <v>7.6000000000000004E-5</v>
      </c>
      <c r="G39" s="64">
        <v>0.28133176519930259</v>
      </c>
      <c r="H39" s="2">
        <v>2503</v>
      </c>
      <c r="I39" s="65">
        <v>-50.924419673801239</v>
      </c>
      <c r="J39" s="65">
        <v>5.2653313566874971</v>
      </c>
      <c r="K39" s="66">
        <v>2610.9670485988868</v>
      </c>
      <c r="L39" s="6">
        <v>-0.9998493975903614</v>
      </c>
    </row>
    <row r="40" spans="1:12">
      <c r="A40" s="2" t="s">
        <v>220</v>
      </c>
      <c r="B40" s="2">
        <v>2458</v>
      </c>
      <c r="C40" s="64">
        <v>1.1E-4</v>
      </c>
      <c r="D40" s="64">
        <v>3.4000000000000001E-6</v>
      </c>
      <c r="E40" s="67">
        <v>0.28132800000000002</v>
      </c>
      <c r="F40" s="64">
        <v>8.5000000000000006E-5</v>
      </c>
      <c r="G40" s="64">
        <v>0.2813278336834244</v>
      </c>
      <c r="H40" s="2">
        <v>2503</v>
      </c>
      <c r="I40" s="65">
        <v>-51.065876395116618</v>
      </c>
      <c r="J40" s="65">
        <v>5.1257978167118523</v>
      </c>
      <c r="K40" s="66">
        <v>2616.1749829186033</v>
      </c>
      <c r="L40" s="6">
        <v>-0.99989759036144576</v>
      </c>
    </row>
    <row r="41" spans="1:12" s="9" customFormat="1" ht="14" thickBot="1">
      <c r="A41" s="4" t="s">
        <v>259</v>
      </c>
      <c r="B41" s="4">
        <v>2558</v>
      </c>
      <c r="C41" s="68">
        <v>1E-3</v>
      </c>
      <c r="D41" s="68">
        <v>3.3000000000000003E-5</v>
      </c>
      <c r="E41" s="68">
        <v>0.28140900000000002</v>
      </c>
      <c r="F41" s="68">
        <v>6.3E-5</v>
      </c>
      <c r="G41" s="68">
        <v>0.28140900000000002</v>
      </c>
      <c r="H41" s="4">
        <v>2503</v>
      </c>
      <c r="I41" s="69">
        <v>-48.201377788466004</v>
      </c>
      <c r="J41" s="69">
        <v>7.9561158731133999</v>
      </c>
      <c r="K41" s="70">
        <v>2510.3516701630037</v>
      </c>
      <c r="L41" s="7">
        <v>-0.9990060240963855</v>
      </c>
    </row>
    <row r="43" spans="1:12" s="9" customFormat="1" ht="27" customHeight="1">
      <c r="A43" s="118" t="s">
        <v>403</v>
      </c>
      <c r="B43" s="118"/>
      <c r="C43" s="119"/>
      <c r="D43" s="119"/>
      <c r="E43" s="119"/>
      <c r="F43" s="119"/>
      <c r="G43" s="119"/>
      <c r="H43" s="118"/>
      <c r="I43" s="118"/>
      <c r="J43" s="118"/>
      <c r="K43" s="118"/>
      <c r="L43" s="118"/>
    </row>
    <row r="44" spans="1:12" s="9" customFormat="1" ht="17">
      <c r="A44" s="106" t="s">
        <v>404</v>
      </c>
      <c r="B44" s="106"/>
      <c r="C44" s="116"/>
      <c r="D44" s="116"/>
      <c r="E44" s="116"/>
      <c r="F44" s="116"/>
      <c r="G44" s="116"/>
      <c r="H44" s="106"/>
      <c r="I44" s="106"/>
      <c r="J44" s="106"/>
      <c r="K44" s="106"/>
      <c r="L44" s="106"/>
    </row>
    <row r="45" spans="1:12" s="9" customFormat="1" ht="17">
      <c r="A45" s="106" t="s">
        <v>405</v>
      </c>
      <c r="B45" s="106"/>
      <c r="C45" s="116"/>
      <c r="D45" s="116"/>
      <c r="E45" s="116"/>
      <c r="F45" s="116"/>
      <c r="G45" s="116"/>
      <c r="H45" s="106"/>
      <c r="I45" s="106"/>
      <c r="J45" s="106"/>
      <c r="K45" s="106"/>
      <c r="L45" s="106"/>
    </row>
    <row r="46" spans="1:12" s="9" customFormat="1" ht="17">
      <c r="A46" s="106" t="s">
        <v>406</v>
      </c>
      <c r="B46" s="106"/>
      <c r="C46" s="116"/>
      <c r="D46" s="116"/>
      <c r="E46" s="116"/>
      <c r="F46" s="116"/>
      <c r="G46" s="116"/>
      <c r="H46" s="106"/>
      <c r="I46" s="106"/>
      <c r="J46" s="106"/>
      <c r="K46" s="106"/>
      <c r="L46" s="106"/>
    </row>
    <row r="47" spans="1:12" s="9" customFormat="1" ht="17">
      <c r="A47" s="106" t="s">
        <v>407</v>
      </c>
      <c r="B47" s="106"/>
      <c r="C47" s="116"/>
      <c r="D47" s="116"/>
      <c r="E47" s="116"/>
      <c r="F47" s="116"/>
      <c r="G47" s="116"/>
      <c r="H47" s="106"/>
      <c r="I47" s="106"/>
      <c r="J47" s="106"/>
      <c r="K47" s="106"/>
      <c r="L47" s="106"/>
    </row>
    <row r="48" spans="1:12" s="9" customFormat="1">
      <c r="A48" s="52"/>
      <c r="B48" s="2"/>
      <c r="C48" s="64"/>
      <c r="D48" s="64"/>
      <c r="E48" s="64"/>
      <c r="F48" s="64"/>
      <c r="G48" s="64"/>
      <c r="H48" s="2"/>
      <c r="I48" s="2"/>
      <c r="J48" s="2"/>
      <c r="K48" s="2"/>
      <c r="L48" s="2"/>
    </row>
    <row r="49" spans="1:18" s="9" customFormat="1">
      <c r="A49" s="8"/>
      <c r="B49" s="2"/>
      <c r="C49" s="64"/>
      <c r="D49" s="64"/>
      <c r="E49" s="64"/>
      <c r="F49" s="64"/>
      <c r="G49" s="64"/>
      <c r="H49" s="8"/>
      <c r="I49" s="8"/>
      <c r="J49" s="8"/>
      <c r="K49" s="8"/>
      <c r="L49" s="8"/>
      <c r="M49" s="45"/>
      <c r="N49" s="2"/>
      <c r="O49" s="46"/>
    </row>
    <row r="50" spans="1:18">
      <c r="M50" s="45"/>
      <c r="N50" s="2"/>
      <c r="O50" s="46"/>
    </row>
    <row r="51" spans="1:18">
      <c r="A51" s="2"/>
      <c r="B51" s="2"/>
      <c r="C51" s="64"/>
      <c r="D51" s="64"/>
      <c r="E51" s="67"/>
      <c r="F51" s="64"/>
      <c r="G51" s="64"/>
      <c r="M51" s="45"/>
      <c r="N51" s="2"/>
      <c r="O51" s="46"/>
    </row>
    <row r="52" spans="1:18">
      <c r="A52" s="2"/>
      <c r="B52" s="2"/>
      <c r="C52" s="64"/>
      <c r="D52" s="64"/>
      <c r="E52" s="67"/>
      <c r="F52" s="64"/>
      <c r="G52" s="64"/>
      <c r="M52" s="45"/>
      <c r="N52" s="2"/>
      <c r="O52" s="46"/>
    </row>
    <row r="53" spans="1:18">
      <c r="A53" s="2"/>
      <c r="B53" s="2"/>
      <c r="C53" s="64"/>
      <c r="D53" s="64"/>
      <c r="E53" s="67"/>
      <c r="F53" s="64"/>
      <c r="G53" s="64"/>
      <c r="M53" s="45"/>
      <c r="N53" s="2"/>
      <c r="O53" s="46"/>
    </row>
    <row r="54" spans="1:18">
      <c r="A54" s="2"/>
      <c r="B54" s="2"/>
      <c r="C54" s="64"/>
      <c r="D54" s="64"/>
      <c r="E54" s="67"/>
      <c r="F54" s="64"/>
      <c r="G54" s="64"/>
      <c r="M54" s="45"/>
      <c r="N54" s="2"/>
      <c r="O54" s="46"/>
    </row>
    <row r="55" spans="1:18">
      <c r="A55" s="2"/>
      <c r="B55" s="2"/>
      <c r="C55" s="64"/>
      <c r="D55" s="64"/>
      <c r="E55" s="67"/>
      <c r="F55" s="64"/>
      <c r="G55" s="64"/>
      <c r="M55" s="45"/>
      <c r="N55" s="2"/>
      <c r="O55" s="46"/>
    </row>
    <row r="56" spans="1:18">
      <c r="A56" s="2"/>
      <c r="B56" s="2"/>
      <c r="C56" s="64"/>
      <c r="D56" s="64"/>
      <c r="E56" s="67"/>
      <c r="F56" s="64"/>
      <c r="G56" s="64"/>
      <c r="M56" s="45"/>
      <c r="N56" s="2"/>
      <c r="O56" s="46"/>
    </row>
    <row r="57" spans="1:18">
      <c r="A57" s="2"/>
      <c r="B57" s="2"/>
      <c r="C57" s="64"/>
      <c r="D57" s="64"/>
      <c r="E57" s="67"/>
      <c r="F57" s="64"/>
      <c r="G57" s="64"/>
      <c r="M57" s="45"/>
      <c r="N57" s="2"/>
      <c r="O57" s="46"/>
    </row>
    <row r="58" spans="1:18">
      <c r="A58" s="2"/>
      <c r="B58" s="2"/>
      <c r="C58" s="64"/>
      <c r="D58" s="64"/>
      <c r="E58" s="67"/>
      <c r="F58" s="64"/>
      <c r="G58" s="64"/>
      <c r="M58" s="45"/>
      <c r="N58" s="2"/>
      <c r="O58" s="46"/>
    </row>
    <row r="59" spans="1:18">
      <c r="A59" s="2"/>
      <c r="B59" s="2"/>
      <c r="C59" s="64"/>
      <c r="D59" s="64"/>
      <c r="E59" s="67"/>
      <c r="F59" s="64"/>
      <c r="G59" s="64"/>
      <c r="M59" s="45"/>
      <c r="N59" s="2"/>
      <c r="O59" s="46"/>
    </row>
    <row r="60" spans="1:18">
      <c r="A60" s="2"/>
      <c r="B60" s="2"/>
      <c r="C60" s="64"/>
      <c r="D60" s="64"/>
      <c r="E60" s="67"/>
      <c r="F60" s="64"/>
      <c r="G60" s="64"/>
      <c r="M60" s="45"/>
      <c r="N60" s="2"/>
      <c r="O60" s="46"/>
    </row>
    <row r="61" spans="1:18">
      <c r="A61" s="2"/>
      <c r="B61" s="2"/>
      <c r="C61" s="64"/>
      <c r="D61" s="64"/>
      <c r="E61" s="67"/>
      <c r="F61" s="64"/>
      <c r="G61" s="64"/>
      <c r="M61" s="45"/>
      <c r="N61" s="2"/>
      <c r="O61" s="46"/>
    </row>
    <row r="62" spans="1:18">
      <c r="A62" s="2"/>
      <c r="B62" s="2"/>
      <c r="C62" s="64"/>
      <c r="D62" s="64"/>
      <c r="E62" s="67"/>
      <c r="F62" s="64"/>
      <c r="G62" s="64"/>
      <c r="M62" s="45"/>
      <c r="N62" s="2"/>
      <c r="O62" s="46"/>
    </row>
    <row r="63" spans="1:18">
      <c r="A63" s="2"/>
      <c r="B63" s="2"/>
      <c r="C63" s="64"/>
      <c r="D63" s="64"/>
      <c r="E63" s="67"/>
      <c r="F63" s="64"/>
      <c r="G63" s="64"/>
      <c r="M63" s="45"/>
      <c r="N63" s="2"/>
      <c r="O63" s="46"/>
    </row>
    <row r="64" spans="1:18">
      <c r="A64" s="2"/>
      <c r="B64" s="2"/>
      <c r="C64" s="64"/>
      <c r="D64" s="64"/>
      <c r="E64" s="67"/>
      <c r="F64" s="64"/>
      <c r="G64" s="64"/>
      <c r="L64" s="45"/>
      <c r="M64" s="2"/>
      <c r="N64" s="46"/>
      <c r="P64" s="45"/>
      <c r="Q64" s="2"/>
      <c r="R64" s="46"/>
    </row>
    <row r="65" spans="1:18">
      <c r="A65" s="2"/>
      <c r="B65" s="2"/>
      <c r="C65" s="64"/>
      <c r="D65" s="64"/>
      <c r="E65" s="67"/>
      <c r="F65" s="64"/>
      <c r="G65" s="64"/>
      <c r="L65" s="45"/>
      <c r="M65" s="2"/>
      <c r="N65" s="46"/>
      <c r="P65" s="45"/>
      <c r="Q65" s="2"/>
      <c r="R65" s="46"/>
    </row>
    <row r="66" spans="1:18">
      <c r="A66" s="2"/>
      <c r="B66" s="2"/>
      <c r="C66" s="64"/>
      <c r="D66" s="64"/>
      <c r="E66" s="67"/>
      <c r="F66" s="64"/>
      <c r="G66" s="64"/>
      <c r="L66" s="45"/>
      <c r="M66" s="2"/>
      <c r="N66" s="46"/>
      <c r="P66" s="45"/>
      <c r="Q66" s="2"/>
      <c r="R66" s="46"/>
    </row>
    <row r="67" spans="1:18">
      <c r="A67" s="2"/>
      <c r="B67" s="2"/>
      <c r="C67" s="64"/>
      <c r="D67" s="64"/>
      <c r="E67" s="67"/>
      <c r="F67" s="64"/>
      <c r="G67" s="64"/>
      <c r="L67" s="45"/>
      <c r="M67" s="2"/>
      <c r="N67" s="46"/>
      <c r="P67" s="45"/>
      <c r="Q67" s="2"/>
      <c r="R67" s="46"/>
    </row>
    <row r="68" spans="1:18">
      <c r="A68" s="2"/>
      <c r="B68" s="2"/>
      <c r="C68" s="64"/>
      <c r="D68" s="64"/>
      <c r="E68" s="67"/>
      <c r="F68" s="64"/>
      <c r="G68" s="64"/>
      <c r="L68" s="45"/>
      <c r="M68" s="2"/>
      <c r="N68" s="46"/>
      <c r="P68" s="45"/>
      <c r="Q68" s="2"/>
      <c r="R68" s="46"/>
    </row>
    <row r="69" spans="1:18">
      <c r="A69" s="2"/>
      <c r="B69" s="2"/>
      <c r="C69" s="64"/>
      <c r="D69" s="64"/>
      <c r="E69" s="67"/>
      <c r="F69" s="64"/>
      <c r="G69" s="64"/>
      <c r="L69" s="45"/>
      <c r="M69" s="2"/>
      <c r="N69" s="46"/>
      <c r="P69" s="45"/>
      <c r="Q69" s="2"/>
      <c r="R69" s="46"/>
    </row>
    <row r="70" spans="1:18">
      <c r="A70" s="2"/>
      <c r="B70" s="2"/>
      <c r="C70" s="64"/>
      <c r="D70" s="64"/>
      <c r="E70" s="67"/>
      <c r="F70" s="64"/>
      <c r="G70" s="64"/>
      <c r="L70" s="45"/>
      <c r="M70" s="2"/>
      <c r="N70" s="46"/>
      <c r="P70" s="45"/>
      <c r="Q70" s="2"/>
      <c r="R70" s="46"/>
    </row>
    <row r="71" spans="1:18">
      <c r="L71" s="45"/>
      <c r="M71" s="2"/>
      <c r="N71" s="46"/>
      <c r="P71" s="45"/>
      <c r="Q71" s="2"/>
      <c r="R71" s="46"/>
    </row>
    <row r="72" spans="1:18">
      <c r="L72" s="45"/>
      <c r="M72" s="2"/>
      <c r="N72" s="46"/>
      <c r="P72" s="45"/>
      <c r="Q72" s="2"/>
      <c r="R72" s="46"/>
    </row>
    <row r="73" spans="1:18">
      <c r="M73" s="48"/>
      <c r="N73" s="2"/>
      <c r="O73" s="46"/>
    </row>
    <row r="74" spans="1:18">
      <c r="M74" s="48"/>
      <c r="N74" s="2"/>
      <c r="O74" s="46"/>
    </row>
    <row r="75" spans="1:18">
      <c r="M75" s="48"/>
      <c r="N75" s="2"/>
      <c r="O75" s="46"/>
    </row>
    <row r="76" spans="1:18">
      <c r="M76" s="48"/>
      <c r="N76" s="2"/>
      <c r="O76" s="46"/>
    </row>
    <row r="77" spans="1:18">
      <c r="M77" s="48"/>
      <c r="N77" s="2"/>
      <c r="O77" s="46"/>
    </row>
    <row r="78" spans="1:18">
      <c r="M78" s="48"/>
      <c r="N78" s="2"/>
      <c r="O78" s="46"/>
    </row>
    <row r="79" spans="1:18">
      <c r="M79" s="48"/>
      <c r="N79" s="2"/>
      <c r="O79" s="46"/>
    </row>
    <row r="80" spans="1:18">
      <c r="M80" s="48"/>
      <c r="N80" s="2"/>
      <c r="O80" s="46"/>
    </row>
    <row r="81" spans="13:15">
      <c r="M81" s="48"/>
      <c r="N81" s="2"/>
      <c r="O81" s="46"/>
    </row>
    <row r="82" spans="13:15">
      <c r="M82" s="48"/>
      <c r="N82" s="2"/>
      <c r="O82" s="46"/>
    </row>
    <row r="83" spans="13:15">
      <c r="M83" s="48"/>
      <c r="N83" s="2"/>
      <c r="O83" s="46"/>
    </row>
    <row r="84" spans="13:15" ht="14" thickBot="1">
      <c r="M84" s="49"/>
      <c r="N84" s="4"/>
      <c r="O84" s="47"/>
    </row>
  </sheetData>
  <mergeCells count="7">
    <mergeCell ref="A46:L46"/>
    <mergeCell ref="A47:L47"/>
    <mergeCell ref="A1:M1"/>
    <mergeCell ref="A43:L43"/>
    <mergeCell ref="A44:L44"/>
    <mergeCell ref="A45:L45"/>
    <mergeCell ref="A3:L3"/>
  </mergeCells>
  <phoneticPr fontId="16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EFB6A-34B5-5D44-86ED-15269A81860D}">
  <dimension ref="A1:K36"/>
  <sheetViews>
    <sheetView zoomScale="143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1" sqref="M1:X1048576"/>
    </sheetView>
  </sheetViews>
  <sheetFormatPr baseColWidth="10" defaultRowHeight="13"/>
  <cols>
    <col min="1" max="1" width="23.1640625" style="54" customWidth="1"/>
    <col min="2" max="2" width="1.1640625" style="54" customWidth="1"/>
    <col min="3" max="4" width="10.83203125" style="54"/>
    <col min="5" max="5" width="9.5" style="54" customWidth="1"/>
    <col min="6" max="6" width="0.83203125" style="54" customWidth="1"/>
    <col min="7" max="9" width="10.83203125" style="54"/>
    <col min="10" max="10" width="11.33203125" style="54" customWidth="1"/>
    <col min="11" max="11" width="13" style="54" customWidth="1"/>
    <col min="12" max="12" width="1" style="54" customWidth="1"/>
    <col min="13" max="16384" width="10.83203125" style="54"/>
  </cols>
  <sheetData>
    <row r="1" spans="1:11" s="1" customFormat="1" ht="14" thickBot="1">
      <c r="A1" s="27" t="s">
        <v>121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>
      <c r="A2" s="3" t="s">
        <v>0</v>
      </c>
      <c r="B2" s="11"/>
      <c r="C2" s="3" t="s">
        <v>24</v>
      </c>
      <c r="D2" s="3" t="s">
        <v>470</v>
      </c>
      <c r="E2" s="3" t="s">
        <v>27</v>
      </c>
      <c r="F2" s="3"/>
      <c r="G2" s="3" t="s">
        <v>1</v>
      </c>
      <c r="H2" s="3" t="s">
        <v>4</v>
      </c>
      <c r="I2" s="3" t="s">
        <v>7</v>
      </c>
      <c r="J2" s="3" t="s">
        <v>19</v>
      </c>
      <c r="K2" s="3" t="s">
        <v>23</v>
      </c>
    </row>
    <row r="3" spans="1:11">
      <c r="A3" s="2" t="s">
        <v>190</v>
      </c>
      <c r="B3" s="8"/>
      <c r="C3" s="123" t="s">
        <v>365</v>
      </c>
      <c r="D3" s="123"/>
      <c r="E3" s="123"/>
      <c r="F3" s="8"/>
      <c r="G3" s="124" t="s">
        <v>191</v>
      </c>
      <c r="H3" s="124"/>
      <c r="I3" s="124"/>
      <c r="J3" s="124"/>
      <c r="K3" s="124"/>
    </row>
    <row r="4" spans="1:11">
      <c r="A4" s="2" t="s">
        <v>29</v>
      </c>
      <c r="B4" s="8"/>
      <c r="C4" s="2" t="s">
        <v>30</v>
      </c>
      <c r="D4" s="2" t="s">
        <v>30</v>
      </c>
      <c r="E4" s="2" t="s">
        <v>30</v>
      </c>
      <c r="F4" s="2"/>
      <c r="G4" s="2" t="s">
        <v>30</v>
      </c>
      <c r="H4" s="2" t="s">
        <v>30</v>
      </c>
      <c r="I4" s="2" t="s">
        <v>30</v>
      </c>
      <c r="J4" s="2" t="s">
        <v>30</v>
      </c>
      <c r="K4" s="2" t="s">
        <v>137</v>
      </c>
    </row>
    <row r="5" spans="1:11" ht="14" thickBot="1">
      <c r="A5" s="4" t="s">
        <v>140</v>
      </c>
      <c r="B5" s="12"/>
      <c r="C5" s="122" t="s">
        <v>257</v>
      </c>
      <c r="D5" s="122"/>
      <c r="E5" s="122"/>
      <c r="F5" s="4"/>
      <c r="G5" s="4"/>
      <c r="H5" s="4"/>
      <c r="I5" s="4"/>
      <c r="J5" s="4"/>
      <c r="K5" s="4">
        <v>2511</v>
      </c>
    </row>
    <row r="6" spans="1:11">
      <c r="A6" s="19" t="s">
        <v>122</v>
      </c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11" ht="17">
      <c r="A7" s="10" t="s">
        <v>378</v>
      </c>
      <c r="C7" s="5">
        <v>48.512183979894139</v>
      </c>
      <c r="D7" s="5">
        <v>47.949155668282692</v>
      </c>
      <c r="E7" s="5">
        <v>48.194821677802139</v>
      </c>
      <c r="F7" s="5"/>
      <c r="G7" s="5">
        <v>48.137663435643802</v>
      </c>
      <c r="H7" s="5">
        <v>45.662352734263401</v>
      </c>
      <c r="I7" s="5">
        <v>47.922313794730101</v>
      </c>
      <c r="J7" s="5">
        <v>47.431993571107</v>
      </c>
      <c r="K7" s="5">
        <v>49.553754024052303</v>
      </c>
    </row>
    <row r="8" spans="1:11" ht="17">
      <c r="A8" s="10" t="s">
        <v>383</v>
      </c>
      <c r="C8" s="5">
        <v>0.23970397175443503</v>
      </c>
      <c r="D8" s="5">
        <v>0.44990101757531964</v>
      </c>
      <c r="E8" s="5">
        <v>0.44630940587787865</v>
      </c>
      <c r="F8" s="5"/>
      <c r="G8" s="5">
        <v>0.618135313901508</v>
      </c>
      <c r="H8" s="5">
        <v>0.71279211960604205</v>
      </c>
      <c r="I8" s="5">
        <v>0.68916314223382902</v>
      </c>
      <c r="J8" s="5">
        <v>0.58698873833298304</v>
      </c>
      <c r="K8" s="5">
        <v>0.52819584891129601</v>
      </c>
    </row>
    <row r="9" spans="1:11" ht="17">
      <c r="A9" s="10" t="s">
        <v>379</v>
      </c>
      <c r="C9" s="5">
        <v>15.373784855093687</v>
      </c>
      <c r="D9" s="5">
        <v>13.889497372378486</v>
      </c>
      <c r="E9" s="5">
        <v>15.127040075818314</v>
      </c>
      <c r="F9" s="5"/>
      <c r="G9" s="5">
        <v>11.996705105325301</v>
      </c>
      <c r="H9" s="5">
        <v>10.4006334011333</v>
      </c>
      <c r="I9" s="5">
        <v>12.117785250944801</v>
      </c>
      <c r="J9" s="5">
        <v>13.345361609746901</v>
      </c>
      <c r="K9" s="5">
        <v>10.9555104524188</v>
      </c>
    </row>
    <row r="10" spans="1:11">
      <c r="A10" s="2" t="s">
        <v>124</v>
      </c>
      <c r="C10" s="5">
        <v>6.680656095274454</v>
      </c>
      <c r="D10" s="5">
        <v>7.4632485510000004</v>
      </c>
      <c r="E10" s="5">
        <v>7.0248120256258888</v>
      </c>
      <c r="F10" s="5"/>
      <c r="G10" s="5">
        <v>10.5868658562585</v>
      </c>
      <c r="H10" s="5">
        <v>11.659230251815099</v>
      </c>
      <c r="I10" s="5">
        <v>10.3149577791255</v>
      </c>
      <c r="J10" s="5">
        <v>9.0653570705481492</v>
      </c>
      <c r="K10" s="5">
        <v>8.3442933798990104</v>
      </c>
    </row>
    <row r="11" spans="1:11" s="93" customFormat="1" ht="17">
      <c r="A11" s="94" t="s">
        <v>477</v>
      </c>
      <c r="B11" s="54"/>
      <c r="C11" s="5">
        <v>0.79</v>
      </c>
      <c r="D11" s="5">
        <v>0.88</v>
      </c>
      <c r="E11" s="5">
        <v>0.81</v>
      </c>
      <c r="F11" s="5"/>
      <c r="G11" s="5">
        <v>1</v>
      </c>
      <c r="H11" s="5">
        <v>1.06</v>
      </c>
      <c r="I11" s="5">
        <v>0.98</v>
      </c>
      <c r="J11" s="5">
        <v>0.92</v>
      </c>
      <c r="K11" s="5">
        <v>0.91</v>
      </c>
    </row>
    <row r="12" spans="1:11">
      <c r="A12" s="2" t="s">
        <v>125</v>
      </c>
      <c r="C12" s="5">
        <v>0.15210131541044478</v>
      </c>
      <c r="D12" s="5">
        <v>0.12444070698891818</v>
      </c>
      <c r="E12" s="5">
        <v>0.1234472824768601</v>
      </c>
      <c r="F12" s="5"/>
      <c r="G12" s="5">
        <v>0.154533828475377</v>
      </c>
      <c r="H12" s="5">
        <v>0.16095305926587999</v>
      </c>
      <c r="I12" s="5">
        <v>0.13947349307113199</v>
      </c>
      <c r="J12" s="5">
        <v>0.155379371911672</v>
      </c>
      <c r="K12" s="5">
        <v>0.145709199699668</v>
      </c>
    </row>
    <row r="13" spans="1:11">
      <c r="A13" s="2" t="s">
        <v>33</v>
      </c>
      <c r="C13" s="5">
        <v>10.226560337059723</v>
      </c>
      <c r="D13" s="5">
        <v>11.565762963864541</v>
      </c>
      <c r="E13" s="5">
        <v>10.715015732695942</v>
      </c>
      <c r="F13" s="5"/>
      <c r="G13" s="5">
        <v>16.209977194158199</v>
      </c>
      <c r="H13" s="5">
        <v>17.955215058628902</v>
      </c>
      <c r="I13" s="5">
        <v>15.679082921144399</v>
      </c>
      <c r="J13" s="5">
        <v>13.6599572539146</v>
      </c>
      <c r="K13" s="5">
        <v>12.754444445258599</v>
      </c>
    </row>
    <row r="14" spans="1:11">
      <c r="A14" s="2" t="s">
        <v>32</v>
      </c>
      <c r="C14" s="5">
        <v>11.600131966429487</v>
      </c>
      <c r="D14" s="5">
        <v>9.8691053004288207</v>
      </c>
      <c r="E14" s="5">
        <v>10.151164997520262</v>
      </c>
      <c r="F14" s="5"/>
      <c r="G14" s="5">
        <v>8.0194923619327199</v>
      </c>
      <c r="H14" s="5">
        <v>9.4195861827508196</v>
      </c>
      <c r="I14" s="5">
        <v>8.1879144755876396</v>
      </c>
      <c r="J14" s="5">
        <v>10.876556033817</v>
      </c>
      <c r="K14" s="5">
        <v>8.8882611816797397</v>
      </c>
    </row>
    <row r="15" spans="1:11" ht="17">
      <c r="A15" s="10" t="s">
        <v>382</v>
      </c>
      <c r="C15" s="5">
        <v>1.0011732153598896</v>
      </c>
      <c r="D15" s="5">
        <v>2.4026628810937281</v>
      </c>
      <c r="E15" s="5">
        <v>2.1270916365243582</v>
      </c>
      <c r="F15" s="5"/>
      <c r="G15" s="5">
        <v>1.04107000236043</v>
      </c>
      <c r="H15" s="5">
        <v>0.99637608116973597</v>
      </c>
      <c r="I15" s="5">
        <v>1.2388527913965299</v>
      </c>
      <c r="J15" s="5">
        <v>1.5537937191167199</v>
      </c>
      <c r="K15" s="5">
        <v>5.4185608638313996</v>
      </c>
    </row>
    <row r="16" spans="1:11" ht="17">
      <c r="A16" s="10" t="s">
        <v>126</v>
      </c>
      <c r="C16" s="5">
        <v>1.5691464817659804</v>
      </c>
      <c r="D16" s="5">
        <v>1.5794397425516542</v>
      </c>
      <c r="E16" s="5">
        <v>1.4813673897223207</v>
      </c>
      <c r="F16" s="5"/>
      <c r="G16" s="5">
        <v>0.60186859511462598</v>
      </c>
      <c r="H16" s="5">
        <v>0.44453702082957502</v>
      </c>
      <c r="I16" s="5">
        <v>1.09117497520356</v>
      </c>
      <c r="J16" s="5">
        <v>0.681942798945671</v>
      </c>
      <c r="K16" s="5">
        <v>0.68301187359219295</v>
      </c>
    </row>
    <row r="17" spans="1:11" s="72" customFormat="1">
      <c r="A17" s="19" t="s">
        <v>123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</row>
    <row r="18" spans="1:11" ht="14">
      <c r="A18" s="5" t="s">
        <v>127</v>
      </c>
      <c r="C18" s="5" t="s">
        <v>183</v>
      </c>
      <c r="D18" s="5" t="s">
        <v>471</v>
      </c>
      <c r="E18" s="5" t="s">
        <v>176</v>
      </c>
      <c r="F18" s="5"/>
      <c r="G18" s="5" t="s">
        <v>129</v>
      </c>
      <c r="H18" s="5" t="s">
        <v>131</v>
      </c>
      <c r="I18" s="5" t="s">
        <v>133</v>
      </c>
      <c r="J18" s="5" t="s">
        <v>135</v>
      </c>
      <c r="K18" s="5" t="s">
        <v>138</v>
      </c>
    </row>
    <row r="19" spans="1:11">
      <c r="A19" s="5" t="s">
        <v>128</v>
      </c>
      <c r="C19" s="5" t="s">
        <v>175</v>
      </c>
      <c r="D19" s="5" t="s">
        <v>472</v>
      </c>
      <c r="E19" s="5" t="s">
        <v>177</v>
      </c>
      <c r="F19" s="5"/>
      <c r="G19" s="5" t="s">
        <v>130</v>
      </c>
      <c r="H19" s="5" t="s">
        <v>132</v>
      </c>
      <c r="I19" s="5" t="s">
        <v>134</v>
      </c>
      <c r="J19" s="5" t="s">
        <v>136</v>
      </c>
      <c r="K19" s="5" t="s">
        <v>139</v>
      </c>
    </row>
    <row r="20" spans="1:11">
      <c r="A20" s="19" t="s">
        <v>174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</row>
    <row r="21" spans="1:11" ht="17">
      <c r="A21" s="5" t="s">
        <v>412</v>
      </c>
      <c r="C21" s="5"/>
      <c r="D21" s="50" t="s">
        <v>473</v>
      </c>
      <c r="E21" s="50" t="s">
        <v>264</v>
      </c>
      <c r="F21" s="5"/>
      <c r="G21" s="50" t="s">
        <v>268</v>
      </c>
      <c r="H21" s="50" t="s">
        <v>272</v>
      </c>
      <c r="I21" s="50" t="s">
        <v>276</v>
      </c>
      <c r="J21" s="50" t="s">
        <v>280</v>
      </c>
      <c r="K21" s="50" t="s">
        <v>284</v>
      </c>
    </row>
    <row r="22" spans="1:11" ht="17">
      <c r="A22" s="5" t="s">
        <v>415</v>
      </c>
      <c r="C22" s="50" t="s">
        <v>262</v>
      </c>
      <c r="D22" s="50" t="s">
        <v>475</v>
      </c>
      <c r="E22" s="50" t="s">
        <v>265</v>
      </c>
      <c r="F22" s="5"/>
      <c r="G22" s="50" t="s">
        <v>269</v>
      </c>
      <c r="H22" s="50" t="s">
        <v>273</v>
      </c>
      <c r="I22" s="50" t="s">
        <v>277</v>
      </c>
      <c r="J22" s="50" t="s">
        <v>281</v>
      </c>
      <c r="K22" s="50"/>
    </row>
    <row r="23" spans="1:11">
      <c r="A23" s="19" t="s">
        <v>411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</row>
    <row r="24" spans="1:11" ht="17">
      <c r="A24" s="5" t="s">
        <v>413</v>
      </c>
      <c r="C24" s="5"/>
      <c r="D24" s="50" t="s">
        <v>474</v>
      </c>
      <c r="E24" s="50" t="s">
        <v>266</v>
      </c>
      <c r="F24" s="5"/>
      <c r="G24" s="50" t="s">
        <v>270</v>
      </c>
      <c r="H24" s="50" t="s">
        <v>274</v>
      </c>
      <c r="I24" s="50" t="s">
        <v>278</v>
      </c>
      <c r="J24" s="50" t="s">
        <v>282</v>
      </c>
      <c r="K24" s="50" t="s">
        <v>285</v>
      </c>
    </row>
    <row r="25" spans="1:11" ht="18" thickBot="1">
      <c r="A25" s="7" t="s">
        <v>414</v>
      </c>
      <c r="B25" s="73"/>
      <c r="C25" s="7" t="s">
        <v>263</v>
      </c>
      <c r="D25" s="51" t="s">
        <v>476</v>
      </c>
      <c r="E25" s="7" t="s">
        <v>267</v>
      </c>
      <c r="F25" s="7"/>
      <c r="G25" s="51" t="s">
        <v>271</v>
      </c>
      <c r="H25" s="51" t="s">
        <v>275</v>
      </c>
      <c r="I25" s="51" t="s">
        <v>279</v>
      </c>
      <c r="J25" s="51" t="s">
        <v>283</v>
      </c>
      <c r="K25" s="7"/>
    </row>
    <row r="27" spans="1:11">
      <c r="A27" s="53" t="s">
        <v>77</v>
      </c>
    </row>
    <row r="28" spans="1:11">
      <c r="A28" s="28" t="s">
        <v>184</v>
      </c>
    </row>
    <row r="29" spans="1:11">
      <c r="A29" s="28" t="s">
        <v>185</v>
      </c>
    </row>
    <row r="30" spans="1:11">
      <c r="A30" s="28" t="s">
        <v>186</v>
      </c>
    </row>
    <row r="31" spans="1:11">
      <c r="A31" s="28"/>
    </row>
    <row r="32" spans="1:11">
      <c r="A32" s="28"/>
    </row>
    <row r="33" spans="1:1">
      <c r="A33" s="28"/>
    </row>
    <row r="34" spans="1:1">
      <c r="A34" s="28"/>
    </row>
    <row r="35" spans="1:1">
      <c r="A35" s="28"/>
    </row>
    <row r="36" spans="1:1">
      <c r="A36" s="28"/>
    </row>
  </sheetData>
  <mergeCells count="3">
    <mergeCell ref="C5:E5"/>
    <mergeCell ref="C3:E3"/>
    <mergeCell ref="G3:K3"/>
  </mergeCells>
  <phoneticPr fontId="16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58B6-E286-484D-AFDD-0B50FD5A1ADF}">
  <dimension ref="A1:BT178"/>
  <sheetViews>
    <sheetView tabSelected="1" zoomScale="107" zoomScaleNormal="86" workbookViewId="0">
      <pane xSplit="2" ySplit="2" topLeftCell="BK6" activePane="bottomRight" state="frozen"/>
      <selection pane="topRight" activeCell="C1" sqref="C1"/>
      <selection pane="bottomLeft" activeCell="A3" sqref="A3"/>
      <selection pane="bottomRight" activeCell="A42" sqref="A42:XFD42"/>
    </sheetView>
  </sheetViews>
  <sheetFormatPr baseColWidth="10" defaultRowHeight="13"/>
  <cols>
    <col min="1" max="1" width="10.83203125" style="54"/>
    <col min="2" max="2" width="14.6640625" style="54" customWidth="1"/>
    <col min="3" max="3" width="14.83203125" style="54" customWidth="1"/>
    <col min="4" max="4" width="35.83203125" style="54" customWidth="1"/>
    <col min="5" max="5" width="9.5" style="54" customWidth="1"/>
    <col min="6" max="66" width="10.83203125" style="54"/>
    <col min="67" max="67" width="12.83203125" style="54" customWidth="1"/>
    <col min="68" max="68" width="21.33203125" style="54" customWidth="1"/>
    <col min="69" max="69" width="10.83203125" style="54"/>
    <col min="70" max="70" width="21.5" style="54" customWidth="1"/>
    <col min="71" max="71" width="35.5" style="54" customWidth="1"/>
    <col min="72" max="72" width="19.1640625" style="103" customWidth="1"/>
    <col min="73" max="16384" width="10.83203125" style="54"/>
  </cols>
  <sheetData>
    <row r="1" spans="1:72" s="34" customFormat="1" ht="14" thickBot="1">
      <c r="A1" s="95" t="s">
        <v>421</v>
      </c>
      <c r="B1" s="95"/>
      <c r="C1" s="95"/>
      <c r="D1" s="95"/>
      <c r="E1" s="95"/>
      <c r="F1" s="95"/>
      <c r="G1" s="95"/>
      <c r="H1" s="95"/>
      <c r="I1" s="95"/>
      <c r="J1" s="96"/>
      <c r="K1" s="96"/>
      <c r="L1" s="96"/>
      <c r="M1" s="96"/>
      <c r="N1" s="96"/>
      <c r="O1" s="96"/>
      <c r="P1" s="96"/>
      <c r="Q1" s="96"/>
      <c r="R1" s="96"/>
      <c r="S1" s="95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75"/>
    </row>
    <row r="2" spans="1:72" ht="18" thickBot="1">
      <c r="A2" s="4" t="s">
        <v>469</v>
      </c>
      <c r="B2" s="4" t="s">
        <v>448</v>
      </c>
      <c r="C2" s="4" t="s">
        <v>28</v>
      </c>
      <c r="D2" s="4" t="s">
        <v>423</v>
      </c>
      <c r="E2" s="4" t="s">
        <v>140</v>
      </c>
      <c r="F2" s="97" t="s">
        <v>466</v>
      </c>
      <c r="G2" s="97" t="s">
        <v>343</v>
      </c>
      <c r="H2" s="97" t="s">
        <v>344</v>
      </c>
      <c r="I2" s="97" t="s">
        <v>465</v>
      </c>
      <c r="J2" s="97" t="s">
        <v>125</v>
      </c>
      <c r="K2" s="97" t="s">
        <v>33</v>
      </c>
      <c r="L2" s="97" t="s">
        <v>32</v>
      </c>
      <c r="M2" s="97" t="s">
        <v>345</v>
      </c>
      <c r="N2" s="97" t="s">
        <v>346</v>
      </c>
      <c r="O2" s="97" t="s">
        <v>347</v>
      </c>
      <c r="P2" s="97" t="s">
        <v>36</v>
      </c>
      <c r="Q2" s="97" t="s">
        <v>37</v>
      </c>
      <c r="R2" s="97" t="s">
        <v>34</v>
      </c>
      <c r="S2" s="97" t="s">
        <v>464</v>
      </c>
      <c r="T2" s="97" t="s">
        <v>38</v>
      </c>
      <c r="U2" s="97" t="s">
        <v>286</v>
      </c>
      <c r="V2" s="97" t="s">
        <v>39</v>
      </c>
      <c r="W2" s="97" t="s">
        <v>40</v>
      </c>
      <c r="X2" s="97" t="s">
        <v>41</v>
      </c>
      <c r="Y2" s="97" t="s">
        <v>42</v>
      </c>
      <c r="Z2" s="97" t="s">
        <v>43</v>
      </c>
      <c r="AA2" s="97" t="s">
        <v>44</v>
      </c>
      <c r="AB2" s="97" t="s">
        <v>45</v>
      </c>
      <c r="AC2" s="97" t="s">
        <v>46</v>
      </c>
      <c r="AD2" s="97" t="s">
        <v>47</v>
      </c>
      <c r="AE2" s="97" t="s">
        <v>48</v>
      </c>
      <c r="AF2" s="97" t="s">
        <v>49</v>
      </c>
      <c r="AG2" s="97" t="s">
        <v>50</v>
      </c>
      <c r="AH2" s="97" t="s">
        <v>51</v>
      </c>
      <c r="AI2" s="97" t="s">
        <v>287</v>
      </c>
      <c r="AJ2" s="97" t="s">
        <v>53</v>
      </c>
      <c r="AK2" s="97" t="s">
        <v>54</v>
      </c>
      <c r="AL2" s="97" t="s">
        <v>55</v>
      </c>
      <c r="AM2" s="97" t="s">
        <v>56</v>
      </c>
      <c r="AN2" s="97" t="s">
        <v>57</v>
      </c>
      <c r="AO2" s="97" t="s">
        <v>58</v>
      </c>
      <c r="AP2" s="97" t="s">
        <v>59</v>
      </c>
      <c r="AQ2" s="97" t="s">
        <v>60</v>
      </c>
      <c r="AR2" s="97" t="s">
        <v>61</v>
      </c>
      <c r="AS2" s="97" t="s">
        <v>62</v>
      </c>
      <c r="AT2" s="97" t="s">
        <v>63</v>
      </c>
      <c r="AU2" s="97" t="s">
        <v>64</v>
      </c>
      <c r="AV2" s="97" t="s">
        <v>65</v>
      </c>
      <c r="AW2" s="97" t="s">
        <v>66</v>
      </c>
      <c r="AX2" s="97" t="s">
        <v>67</v>
      </c>
      <c r="AY2" s="97" t="s">
        <v>68</v>
      </c>
      <c r="AZ2" s="97" t="s">
        <v>69</v>
      </c>
      <c r="BA2" s="97" t="s">
        <v>70</v>
      </c>
      <c r="BB2" s="97" t="s">
        <v>288</v>
      </c>
      <c r="BC2" s="97" t="s">
        <v>72</v>
      </c>
      <c r="BD2" s="97" t="s">
        <v>73</v>
      </c>
      <c r="BE2" s="97" t="s">
        <v>74</v>
      </c>
      <c r="BF2" s="97" t="s">
        <v>76</v>
      </c>
      <c r="BG2" s="97" t="s">
        <v>289</v>
      </c>
      <c r="BH2" s="97" t="s">
        <v>348</v>
      </c>
      <c r="BI2" s="97" t="s">
        <v>410</v>
      </c>
      <c r="BJ2" s="97" t="s">
        <v>349</v>
      </c>
      <c r="BK2" s="97" t="s">
        <v>352</v>
      </c>
      <c r="BL2" s="97" t="s">
        <v>353</v>
      </c>
      <c r="BM2" s="97" t="s">
        <v>350</v>
      </c>
      <c r="BN2" s="97" t="s">
        <v>128</v>
      </c>
      <c r="BO2" s="4" t="s">
        <v>356</v>
      </c>
      <c r="BP2" s="4" t="s">
        <v>355</v>
      </c>
      <c r="BQ2" s="4" t="s">
        <v>417</v>
      </c>
      <c r="BR2" s="4" t="s">
        <v>416</v>
      </c>
      <c r="BS2" s="4" t="s">
        <v>290</v>
      </c>
      <c r="BT2" s="4" t="s">
        <v>29</v>
      </c>
    </row>
    <row r="3" spans="1:72">
      <c r="A3" s="2" t="s">
        <v>315</v>
      </c>
      <c r="B3" s="2" t="s">
        <v>364</v>
      </c>
      <c r="C3" s="2" t="s">
        <v>311</v>
      </c>
      <c r="D3" s="2" t="s">
        <v>425</v>
      </c>
      <c r="E3" s="2">
        <v>2800</v>
      </c>
      <c r="F3" s="5">
        <v>54.1</v>
      </c>
      <c r="G3" s="5">
        <v>0.42</v>
      </c>
      <c r="H3" s="5">
        <v>12.19</v>
      </c>
      <c r="I3" s="5">
        <v>11.1</v>
      </c>
      <c r="J3" s="5">
        <v>0.17</v>
      </c>
      <c r="K3" s="5">
        <v>9.2100000000000009</v>
      </c>
      <c r="L3" s="5">
        <v>10.02</v>
      </c>
      <c r="M3" s="5">
        <v>0.42</v>
      </c>
      <c r="N3" s="5">
        <v>0.42</v>
      </c>
      <c r="O3" s="5">
        <v>0.05</v>
      </c>
      <c r="P3" s="5">
        <v>2.02</v>
      </c>
      <c r="Q3" s="5">
        <f>SUM(F3:G3,H3,I3,J3,K3,L3,M3,N3,O3)</f>
        <v>98.1</v>
      </c>
      <c r="R3" s="5">
        <f>(K3/40.31)/(K3/40.31+I3*2/159.7)*100</f>
        <v>62.172937698856032</v>
      </c>
      <c r="S3" s="5">
        <f>G3*47.87*10000/79.87</f>
        <v>2517.2655565293599</v>
      </c>
      <c r="T3" s="5"/>
      <c r="U3" s="5"/>
      <c r="V3" s="5"/>
      <c r="W3" s="5">
        <v>277</v>
      </c>
      <c r="X3" s="5">
        <v>996</v>
      </c>
      <c r="Y3" s="5">
        <v>67.5</v>
      </c>
      <c r="Z3" s="5">
        <v>215</v>
      </c>
      <c r="AA3" s="5"/>
      <c r="AB3" s="5"/>
      <c r="AC3" s="5"/>
      <c r="AD3" s="5">
        <v>42.4</v>
      </c>
      <c r="AE3" s="5">
        <v>85.3</v>
      </c>
      <c r="AF3" s="5">
        <v>13.1</v>
      </c>
      <c r="AG3" s="5">
        <v>21.33</v>
      </c>
      <c r="AH3" s="5">
        <v>0.98599999999999999</v>
      </c>
      <c r="AI3" s="5"/>
      <c r="AJ3" s="5"/>
      <c r="AK3" s="5">
        <v>342</v>
      </c>
      <c r="AL3" s="5">
        <v>1.1599999999999999</v>
      </c>
      <c r="AM3" s="5">
        <v>2.94</v>
      </c>
      <c r="AN3" s="5">
        <v>0.46</v>
      </c>
      <c r="AO3" s="5">
        <v>2.4500000000000002</v>
      </c>
      <c r="AP3" s="5"/>
      <c r="AQ3" s="5">
        <v>0.38800000000000001</v>
      </c>
      <c r="AR3" s="5">
        <v>1.31</v>
      </c>
      <c r="AS3" s="5">
        <v>0.24199999999999999</v>
      </c>
      <c r="AT3" s="5">
        <v>1.9</v>
      </c>
      <c r="AU3" s="5">
        <v>0.45</v>
      </c>
      <c r="AV3" s="5">
        <v>1.25</v>
      </c>
      <c r="AW3" s="5">
        <v>0.21099999999999999</v>
      </c>
      <c r="AX3" s="5">
        <v>1.36</v>
      </c>
      <c r="AY3" s="5">
        <v>0.28000000000000003</v>
      </c>
      <c r="AZ3" s="5">
        <v>0.59</v>
      </c>
      <c r="BA3" s="5"/>
      <c r="BB3" s="5"/>
      <c r="BC3" s="5"/>
      <c r="BD3" s="5">
        <v>0.153</v>
      </c>
      <c r="BE3" s="5">
        <v>4.4999999999999998E-2</v>
      </c>
      <c r="BF3" s="5">
        <v>3.5510000000000002</v>
      </c>
      <c r="BG3" s="5">
        <v>14.401</v>
      </c>
      <c r="BH3" s="5">
        <v>0.81900420757363301</v>
      </c>
      <c r="BI3" s="5">
        <f>I3*0.8998/J3</f>
        <v>58.751647058823529</v>
      </c>
      <c r="BJ3" s="5">
        <v>29.023809523809501</v>
      </c>
      <c r="BK3" s="5">
        <f>(AL3/0.237)/(AX3/0.17)</f>
        <v>0.61181434599156115</v>
      </c>
      <c r="BL3" s="5">
        <v>0.79683698296837002</v>
      </c>
      <c r="BM3" s="98">
        <v>1294.482</v>
      </c>
      <c r="BN3" s="5">
        <v>0.80171636999999996</v>
      </c>
      <c r="BO3" s="6">
        <v>1.43899999999984</v>
      </c>
      <c r="BP3" s="6">
        <f>(BN3-1)*0.4+BO3</f>
        <v>1.3596865479998399</v>
      </c>
      <c r="BQ3" s="6"/>
      <c r="BR3" s="6"/>
      <c r="BS3" s="2" t="s">
        <v>314</v>
      </c>
      <c r="BT3" s="52" t="s">
        <v>363</v>
      </c>
    </row>
    <row r="4" spans="1:72">
      <c r="A4" s="2" t="s">
        <v>316</v>
      </c>
      <c r="B4" s="2" t="s">
        <v>364</v>
      </c>
      <c r="C4" s="2" t="s">
        <v>311</v>
      </c>
      <c r="D4" s="2" t="s">
        <v>425</v>
      </c>
      <c r="E4" s="2">
        <v>2800</v>
      </c>
      <c r="F4" s="5">
        <v>53</v>
      </c>
      <c r="G4" s="5">
        <v>0.43</v>
      </c>
      <c r="H4" s="5">
        <v>11.92</v>
      </c>
      <c r="I4" s="5">
        <v>10.76</v>
      </c>
      <c r="J4" s="5">
        <v>0.17</v>
      </c>
      <c r="K4" s="5">
        <v>10.130000000000001</v>
      </c>
      <c r="L4" s="5">
        <v>10.89</v>
      </c>
      <c r="M4" s="5">
        <v>0.69</v>
      </c>
      <c r="N4" s="5">
        <v>0.17</v>
      </c>
      <c r="O4" s="5">
        <v>7.0000000000000007E-2</v>
      </c>
      <c r="P4" s="5">
        <v>1.83</v>
      </c>
      <c r="Q4" s="5">
        <f>SUM(F4:G4,H4,I4,J4,K4,L4,M4,N4,O4)</f>
        <v>98.22999999999999</v>
      </c>
      <c r="R4" s="5">
        <f>(K4/40.31)/(K4/40.31+I4*2/159.7)*100</f>
        <v>65.094963762339788</v>
      </c>
      <c r="S4" s="5">
        <f>G4*47.87*10000/79.87</f>
        <v>2577.20045073244</v>
      </c>
      <c r="T4" s="5"/>
      <c r="U4" s="5"/>
      <c r="V4" s="5"/>
      <c r="W4" s="5">
        <v>254</v>
      </c>
      <c r="X4" s="5">
        <v>912</v>
      </c>
      <c r="Y4" s="5">
        <v>66.8</v>
      </c>
      <c r="Z4" s="5">
        <v>219</v>
      </c>
      <c r="AA4" s="5"/>
      <c r="AB4" s="5"/>
      <c r="AC4" s="5"/>
      <c r="AD4" s="5">
        <v>2.66</v>
      </c>
      <c r="AE4" s="5">
        <v>127</v>
      </c>
      <c r="AF4" s="5">
        <v>14.8</v>
      </c>
      <c r="AG4" s="5">
        <v>35.21</v>
      </c>
      <c r="AH4" s="5">
        <v>0.97099999999999997</v>
      </c>
      <c r="AI4" s="5"/>
      <c r="AJ4" s="5"/>
      <c r="AK4" s="5">
        <v>23.8</v>
      </c>
      <c r="AL4" s="5">
        <v>1.4</v>
      </c>
      <c r="AM4" s="5">
        <v>3.58</v>
      </c>
      <c r="AN4" s="5">
        <v>0.59899999999999998</v>
      </c>
      <c r="AO4" s="5">
        <v>2.96</v>
      </c>
      <c r="AP4" s="5"/>
      <c r="AQ4" s="5">
        <v>0.45</v>
      </c>
      <c r="AR4" s="5">
        <v>1.51</v>
      </c>
      <c r="AS4" s="5">
        <v>0.29799999999999999</v>
      </c>
      <c r="AT4" s="5">
        <v>2.06</v>
      </c>
      <c r="AU4" s="5">
        <v>0.47299999999999998</v>
      </c>
      <c r="AV4" s="5">
        <v>1.56</v>
      </c>
      <c r="AW4" s="5">
        <v>0.24399999999999999</v>
      </c>
      <c r="AX4" s="5">
        <v>1.68</v>
      </c>
      <c r="AY4" s="5">
        <v>0.20599999999999999</v>
      </c>
      <c r="AZ4" s="5">
        <v>0.89</v>
      </c>
      <c r="BA4" s="5"/>
      <c r="BB4" s="5"/>
      <c r="BC4" s="5"/>
      <c r="BD4" s="5">
        <v>0.122</v>
      </c>
      <c r="BE4" s="5">
        <v>4.1000000000000002E-2</v>
      </c>
      <c r="BF4" s="5">
        <v>4.1630000000000003</v>
      </c>
      <c r="BG4" s="5">
        <v>17.02</v>
      </c>
      <c r="BH4" s="5">
        <v>0.66827990382688895</v>
      </c>
      <c r="BI4" s="5">
        <f>I4*0.8998/J4</f>
        <v>56.952047058823531</v>
      </c>
      <c r="BJ4" s="5">
        <v>27.7209302325581</v>
      </c>
      <c r="BK4" s="5">
        <f>(AL4/0.237)/(AX4/0.17)</f>
        <v>0.59774964838255984</v>
      </c>
      <c r="BL4" s="5">
        <v>0.74354072529255</v>
      </c>
      <c r="BM4" s="98">
        <v>1285.2919999999999</v>
      </c>
      <c r="BN4" s="5">
        <v>0.83134065000000001</v>
      </c>
      <c r="BO4" s="6">
        <v>1.16999999999987</v>
      </c>
      <c r="BP4" s="6">
        <f>(BN4-1)*0.4+BO4</f>
        <v>1.10253625999987</v>
      </c>
      <c r="BQ4" s="6"/>
      <c r="BR4" s="6"/>
      <c r="BS4" s="2" t="s">
        <v>314</v>
      </c>
      <c r="BT4" s="52" t="s">
        <v>313</v>
      </c>
    </row>
    <row r="5" spans="1:72">
      <c r="A5" s="2" t="s">
        <v>312</v>
      </c>
      <c r="B5" s="2" t="s">
        <v>364</v>
      </c>
      <c r="C5" s="2" t="s">
        <v>311</v>
      </c>
      <c r="D5" s="2" t="s">
        <v>425</v>
      </c>
      <c r="E5" s="2">
        <v>2800</v>
      </c>
      <c r="F5" s="5">
        <v>55.12</v>
      </c>
      <c r="G5" s="5">
        <v>0.4</v>
      </c>
      <c r="H5" s="5">
        <v>11.02</v>
      </c>
      <c r="I5" s="5">
        <v>11.17</v>
      </c>
      <c r="J5" s="5">
        <v>0.17</v>
      </c>
      <c r="K5" s="5">
        <v>10.34</v>
      </c>
      <c r="L5" s="5">
        <v>10.01</v>
      </c>
      <c r="M5" s="5">
        <v>0.7</v>
      </c>
      <c r="N5" s="5">
        <v>0.09</v>
      </c>
      <c r="O5" s="5">
        <v>0.13</v>
      </c>
      <c r="P5" s="5">
        <v>0.93</v>
      </c>
      <c r="Q5" s="5">
        <f>SUM(F5:G5,H5,I5,J5,K5,L5,M5,N5,O5)</f>
        <v>99.15</v>
      </c>
      <c r="R5" s="5">
        <f>(K5/40.31)/(K5/40.31+I5*2/159.7)*100</f>
        <v>64.710512490793832</v>
      </c>
      <c r="S5" s="5">
        <f>G5*47.87*10000/79.87</f>
        <v>2397.3957681232</v>
      </c>
      <c r="T5" s="5"/>
      <c r="U5" s="5"/>
      <c r="V5" s="5"/>
      <c r="W5" s="5">
        <v>265</v>
      </c>
      <c r="X5" s="5">
        <v>10.67</v>
      </c>
      <c r="Y5" s="5">
        <v>64</v>
      </c>
      <c r="Z5" s="5">
        <v>220</v>
      </c>
      <c r="AA5" s="5"/>
      <c r="AB5" s="5"/>
      <c r="AC5" s="5"/>
      <c r="AD5" s="5">
        <v>1.43</v>
      </c>
      <c r="AE5" s="5">
        <v>45.3</v>
      </c>
      <c r="AF5" s="5">
        <v>14.1</v>
      </c>
      <c r="AG5" s="5">
        <v>32.97</v>
      </c>
      <c r="AH5" s="5">
        <v>0.91</v>
      </c>
      <c r="AI5" s="5"/>
      <c r="AJ5" s="5"/>
      <c r="AK5" s="5">
        <v>24.5</v>
      </c>
      <c r="AL5" s="5">
        <v>1.1499999999999999</v>
      </c>
      <c r="AM5" s="5">
        <v>3.33</v>
      </c>
      <c r="AN5" s="5">
        <v>0.57499999999999996</v>
      </c>
      <c r="AO5" s="5">
        <v>2.85</v>
      </c>
      <c r="AP5" s="5"/>
      <c r="AQ5" s="5">
        <v>0.32300000000000001</v>
      </c>
      <c r="AR5" s="5">
        <v>1.52</v>
      </c>
      <c r="AS5" s="5">
        <v>0.27400000000000002</v>
      </c>
      <c r="AT5" s="5">
        <v>2.2000000000000002</v>
      </c>
      <c r="AU5" s="5">
        <v>0.51300000000000001</v>
      </c>
      <c r="AV5" s="5">
        <v>1.37</v>
      </c>
      <c r="AW5" s="5">
        <v>0.22800000000000001</v>
      </c>
      <c r="AX5" s="5">
        <v>1.44</v>
      </c>
      <c r="AY5" s="5">
        <v>0.2</v>
      </c>
      <c r="AZ5" s="5">
        <v>0.81</v>
      </c>
      <c r="BA5" s="5"/>
      <c r="BB5" s="5"/>
      <c r="BC5" s="5"/>
      <c r="BD5" s="5">
        <v>0.155</v>
      </c>
      <c r="BE5" s="5">
        <v>2.8000000000000001E-2</v>
      </c>
      <c r="BF5" s="5">
        <v>3.7509999999999999</v>
      </c>
      <c r="BG5" s="5">
        <v>15.973000000000001</v>
      </c>
      <c r="BH5" s="5">
        <v>0.762448929812794</v>
      </c>
      <c r="BI5" s="5">
        <f>I5*0.8998/J5</f>
        <v>59.122152941176473</v>
      </c>
      <c r="BJ5" s="5">
        <v>27.55</v>
      </c>
      <c r="BK5" s="5">
        <f>(AL5/0.237)/(AX5/0.17)</f>
        <v>0.57284341303328656</v>
      </c>
      <c r="BL5" s="5">
        <v>0.87320897539875697</v>
      </c>
      <c r="BM5" s="98">
        <v>1288.625</v>
      </c>
      <c r="BN5" s="5">
        <v>0.71317151999999995</v>
      </c>
      <c r="BO5" s="6">
        <v>1.3989999999998499</v>
      </c>
      <c r="BP5" s="6">
        <f>(BN5-1)*0.4+BO5</f>
        <v>1.28426860799985</v>
      </c>
      <c r="BQ5" s="6"/>
      <c r="BR5" s="6"/>
      <c r="BS5" s="2" t="s">
        <v>314</v>
      </c>
      <c r="BT5" s="52" t="s">
        <v>313</v>
      </c>
    </row>
    <row r="6" spans="1:72">
      <c r="A6" s="2" t="s">
        <v>318</v>
      </c>
      <c r="B6" s="2" t="s">
        <v>447</v>
      </c>
      <c r="C6" s="2" t="s">
        <v>311</v>
      </c>
      <c r="D6" s="2" t="s">
        <v>441</v>
      </c>
      <c r="E6" s="2">
        <v>2700</v>
      </c>
      <c r="F6" s="5">
        <v>51.08</v>
      </c>
      <c r="G6" s="5">
        <v>0.24</v>
      </c>
      <c r="H6" s="5">
        <v>11.99</v>
      </c>
      <c r="I6" s="5">
        <v>9.9600000000000009</v>
      </c>
      <c r="J6" s="5">
        <v>0.13</v>
      </c>
      <c r="K6" s="5">
        <v>12.94</v>
      </c>
      <c r="L6" s="5">
        <v>12.02</v>
      </c>
      <c r="M6" s="5">
        <v>1.1499999999999999</v>
      </c>
      <c r="N6" s="5">
        <v>0.45</v>
      </c>
      <c r="O6" s="5">
        <v>0.03</v>
      </c>
      <c r="P6" s="5">
        <v>4.6500000000000004</v>
      </c>
      <c r="Q6" s="5">
        <v>104.64</v>
      </c>
      <c r="R6" s="5">
        <v>72.003590988181998</v>
      </c>
      <c r="S6" s="5">
        <v>1438.4374608739199</v>
      </c>
      <c r="T6" s="5"/>
      <c r="U6" s="5"/>
      <c r="V6" s="5">
        <v>48</v>
      </c>
      <c r="W6" s="5">
        <v>60</v>
      </c>
      <c r="X6" s="5">
        <v>1350</v>
      </c>
      <c r="Y6" s="5">
        <v>65</v>
      </c>
      <c r="Z6" s="5">
        <v>550</v>
      </c>
      <c r="AA6" s="5">
        <v>14</v>
      </c>
      <c r="AB6" s="5">
        <v>120</v>
      </c>
      <c r="AC6" s="5"/>
      <c r="AD6" s="5">
        <v>48</v>
      </c>
      <c r="AE6" s="5">
        <v>68</v>
      </c>
      <c r="AF6" s="5">
        <v>12</v>
      </c>
      <c r="AG6" s="5">
        <v>13</v>
      </c>
      <c r="AH6" s="5">
        <v>0.31</v>
      </c>
      <c r="AI6" s="5"/>
      <c r="AJ6" s="5">
        <v>5.5</v>
      </c>
      <c r="AK6" s="5">
        <v>69</v>
      </c>
      <c r="AL6" s="5">
        <v>1.57</v>
      </c>
      <c r="AM6" s="5">
        <v>3.23</v>
      </c>
      <c r="AN6" s="5">
        <v>0.44</v>
      </c>
      <c r="AO6" s="5">
        <v>1.95</v>
      </c>
      <c r="AP6" s="5">
        <v>0.57999999999999996</v>
      </c>
      <c r="AQ6" s="5">
        <v>0.28000000000000003</v>
      </c>
      <c r="AR6" s="5">
        <v>0.91</v>
      </c>
      <c r="AS6" s="5">
        <v>0.22</v>
      </c>
      <c r="AT6" s="5">
        <v>1.58</v>
      </c>
      <c r="AU6" s="5">
        <v>0.43</v>
      </c>
      <c r="AV6" s="5">
        <v>1.3</v>
      </c>
      <c r="AW6" s="5">
        <v>0.11</v>
      </c>
      <c r="AX6" s="5">
        <v>1.3</v>
      </c>
      <c r="AY6" s="5">
        <v>0.22</v>
      </c>
      <c r="AZ6" s="5">
        <v>0.32</v>
      </c>
      <c r="BA6" s="5">
        <v>0.02</v>
      </c>
      <c r="BB6" s="5">
        <v>0.16</v>
      </c>
      <c r="BC6" s="5">
        <v>12.6</v>
      </c>
      <c r="BD6" s="5">
        <v>0.15</v>
      </c>
      <c r="BE6" s="5">
        <v>0.14000000000000001</v>
      </c>
      <c r="BF6" s="5">
        <v>3.68</v>
      </c>
      <c r="BG6" s="5">
        <v>14.120000000000003</v>
      </c>
      <c r="BH6" s="5">
        <v>0.19025200775408477</v>
      </c>
      <c r="BI6" s="5">
        <v>68.938523076923076</v>
      </c>
      <c r="BJ6" s="5">
        <v>49.958333333333336</v>
      </c>
      <c r="BK6" s="5">
        <v>1.47338461538462</v>
      </c>
      <c r="BL6" s="5">
        <v>0.58016304347826098</v>
      </c>
      <c r="BM6" s="98">
        <v>1269.713</v>
      </c>
      <c r="BN6" s="5">
        <v>1.0330872799999999</v>
      </c>
      <c r="BO6" s="6"/>
      <c r="BP6" s="6"/>
      <c r="BQ6" s="6"/>
      <c r="BR6" s="6"/>
      <c r="BS6" s="2" t="s">
        <v>317</v>
      </c>
      <c r="BT6" s="52" t="s">
        <v>431</v>
      </c>
    </row>
    <row r="7" spans="1:72">
      <c r="A7" s="2" t="s">
        <v>432</v>
      </c>
      <c r="B7" s="2" t="s">
        <v>447</v>
      </c>
      <c r="C7" s="2" t="s">
        <v>311</v>
      </c>
      <c r="D7" s="2" t="s">
        <v>441</v>
      </c>
      <c r="E7" s="2">
        <v>2700</v>
      </c>
      <c r="F7" s="5">
        <v>52.3</v>
      </c>
      <c r="G7" s="5">
        <v>0.28000000000000003</v>
      </c>
      <c r="H7" s="5">
        <v>10.64</v>
      </c>
      <c r="I7" s="5">
        <v>11.04</v>
      </c>
      <c r="J7" s="5">
        <v>0.16</v>
      </c>
      <c r="K7" s="5">
        <v>13.27</v>
      </c>
      <c r="L7" s="5">
        <v>10.6</v>
      </c>
      <c r="M7" s="5">
        <v>1.32</v>
      </c>
      <c r="N7" s="5">
        <v>0.35</v>
      </c>
      <c r="O7" s="5">
        <v>0.04</v>
      </c>
      <c r="P7" s="5">
        <v>4.3099999999999996</v>
      </c>
      <c r="Q7" s="5">
        <v>104.31</v>
      </c>
      <c r="R7" s="5">
        <v>70.409489517788401</v>
      </c>
      <c r="S7" s="5">
        <v>1678.1770376862401</v>
      </c>
      <c r="T7" s="5"/>
      <c r="U7" s="5"/>
      <c r="V7" s="5">
        <v>59</v>
      </c>
      <c r="W7" s="5">
        <v>63</v>
      </c>
      <c r="X7" s="5">
        <v>1271</v>
      </c>
      <c r="Y7" s="5">
        <v>73</v>
      </c>
      <c r="Z7" s="5">
        <v>565</v>
      </c>
      <c r="AA7" s="5">
        <v>37</v>
      </c>
      <c r="AB7" s="5">
        <v>125</v>
      </c>
      <c r="AC7" s="5"/>
      <c r="AD7" s="5">
        <v>51</v>
      </c>
      <c r="AE7" s="5">
        <v>91</v>
      </c>
      <c r="AF7" s="5">
        <v>16</v>
      </c>
      <c r="AG7" s="5">
        <v>20</v>
      </c>
      <c r="AH7" s="5">
        <v>0.37</v>
      </c>
      <c r="AI7" s="5"/>
      <c r="AJ7" s="5">
        <v>6.6</v>
      </c>
      <c r="AK7" s="5">
        <v>87</v>
      </c>
      <c r="AL7" s="5">
        <v>2.1</v>
      </c>
      <c r="AM7" s="5">
        <v>4.3600000000000003</v>
      </c>
      <c r="AN7" s="5">
        <v>0.59</v>
      </c>
      <c r="AO7" s="5">
        <v>2.78</v>
      </c>
      <c r="AP7" s="5">
        <v>0.77</v>
      </c>
      <c r="AQ7" s="5">
        <v>0.37</v>
      </c>
      <c r="AR7" s="5">
        <v>1.22</v>
      </c>
      <c r="AS7" s="5">
        <v>0.31</v>
      </c>
      <c r="AT7" s="5">
        <v>2.2000000000000002</v>
      </c>
      <c r="AU7" s="5">
        <v>0.57999999999999996</v>
      </c>
      <c r="AV7" s="5">
        <v>1.73</v>
      </c>
      <c r="AW7" s="5">
        <v>3.1</v>
      </c>
      <c r="AX7" s="5">
        <v>1.74</v>
      </c>
      <c r="AY7" s="5">
        <v>0.28999999999999998</v>
      </c>
      <c r="AZ7" s="5">
        <v>0.48</v>
      </c>
      <c r="BA7" s="5">
        <v>0.02</v>
      </c>
      <c r="BB7" s="5">
        <v>0.17</v>
      </c>
      <c r="BC7" s="5">
        <v>12</v>
      </c>
      <c r="BD7" s="5">
        <v>0.2</v>
      </c>
      <c r="BE7" s="5">
        <v>0.16</v>
      </c>
      <c r="BF7" s="5">
        <v>7.92</v>
      </c>
      <c r="BG7" s="5">
        <v>22.139999999999997</v>
      </c>
      <c r="BH7" s="5">
        <v>0.16976557804047288</v>
      </c>
      <c r="BI7" s="5">
        <v>62.086199999999998</v>
      </c>
      <c r="BJ7" s="5">
        <v>38</v>
      </c>
      <c r="BK7" s="5">
        <v>1.47241379310345</v>
      </c>
      <c r="BL7" s="5">
        <v>0.581115692153923</v>
      </c>
      <c r="BM7" s="98">
        <v>1298.058</v>
      </c>
      <c r="BN7" s="5">
        <v>1.0919096699999999</v>
      </c>
      <c r="BO7" s="6"/>
      <c r="BP7" s="6"/>
      <c r="BQ7" s="6"/>
      <c r="BR7" s="6"/>
      <c r="BS7" s="2" t="s">
        <v>317</v>
      </c>
      <c r="BT7" s="52" t="s">
        <v>446</v>
      </c>
    </row>
    <row r="8" spans="1:72">
      <c r="A8" s="2" t="s">
        <v>433</v>
      </c>
      <c r="B8" s="2" t="s">
        <v>447</v>
      </c>
      <c r="C8" s="2" t="s">
        <v>311</v>
      </c>
      <c r="D8" s="2" t="s">
        <v>441</v>
      </c>
      <c r="E8" s="2">
        <v>2700</v>
      </c>
      <c r="F8" s="5">
        <v>50.53</v>
      </c>
      <c r="G8" s="5">
        <v>0.3</v>
      </c>
      <c r="H8" s="5">
        <v>11.32</v>
      </c>
      <c r="I8" s="5">
        <v>11.22</v>
      </c>
      <c r="J8" s="5">
        <v>0.14000000000000001</v>
      </c>
      <c r="K8" s="5">
        <v>15.46</v>
      </c>
      <c r="L8" s="5">
        <v>9.42</v>
      </c>
      <c r="M8" s="5">
        <v>0.95</v>
      </c>
      <c r="N8" s="5">
        <v>0.61</v>
      </c>
      <c r="O8" s="5">
        <v>0.04</v>
      </c>
      <c r="P8" s="5">
        <v>5.04</v>
      </c>
      <c r="Q8" s="5">
        <v>105.03</v>
      </c>
      <c r="R8" s="5">
        <v>73.173667583973199</v>
      </c>
      <c r="S8" s="5">
        <v>1798.0468260924001</v>
      </c>
      <c r="T8" s="5"/>
      <c r="U8" s="5"/>
      <c r="V8" s="5">
        <v>54</v>
      </c>
      <c r="W8" s="5">
        <v>56</v>
      </c>
      <c r="X8" s="5">
        <v>1478</v>
      </c>
      <c r="Y8" s="5">
        <v>77</v>
      </c>
      <c r="Z8" s="5">
        <v>718</v>
      </c>
      <c r="AA8" s="5">
        <v>216</v>
      </c>
      <c r="AB8" s="5">
        <v>101</v>
      </c>
      <c r="AC8" s="5"/>
      <c r="AD8" s="5">
        <v>308</v>
      </c>
      <c r="AE8" s="5">
        <v>37</v>
      </c>
      <c r="AF8" s="5">
        <v>14</v>
      </c>
      <c r="AG8" s="5">
        <v>18</v>
      </c>
      <c r="AH8" s="5">
        <v>0.39</v>
      </c>
      <c r="AI8" s="5"/>
      <c r="AJ8" s="5">
        <v>14.9</v>
      </c>
      <c r="AK8" s="5">
        <v>95</v>
      </c>
      <c r="AL8" s="5">
        <v>2.1</v>
      </c>
      <c r="AM8" s="5">
        <v>4.32</v>
      </c>
      <c r="AN8" s="5">
        <v>0.59</v>
      </c>
      <c r="AO8" s="5">
        <v>2.58</v>
      </c>
      <c r="AP8" s="5">
        <v>0.74</v>
      </c>
      <c r="AQ8" s="5">
        <v>0.34</v>
      </c>
      <c r="AR8" s="5">
        <v>1.1299999999999999</v>
      </c>
      <c r="AS8" s="5">
        <v>0.28000000000000003</v>
      </c>
      <c r="AT8" s="5">
        <v>2.0099999999999998</v>
      </c>
      <c r="AU8" s="5">
        <v>0.54</v>
      </c>
      <c r="AV8" s="5">
        <v>1.57</v>
      </c>
      <c r="AW8" s="5">
        <v>2.88</v>
      </c>
      <c r="AX8" s="5">
        <v>1.56</v>
      </c>
      <c r="AY8" s="5">
        <v>0.26</v>
      </c>
      <c r="AZ8" s="5">
        <v>0.45</v>
      </c>
      <c r="BA8" s="5">
        <v>0.02</v>
      </c>
      <c r="BB8" s="5">
        <v>0.73</v>
      </c>
      <c r="BC8" s="5">
        <v>11</v>
      </c>
      <c r="BD8" s="5">
        <v>0.21</v>
      </c>
      <c r="BE8" s="5">
        <v>0.16</v>
      </c>
      <c r="BF8" s="5">
        <v>7.2600000000000007</v>
      </c>
      <c r="BG8" s="5">
        <v>20.9</v>
      </c>
      <c r="BH8" s="5">
        <v>0.17894209577239031</v>
      </c>
      <c r="BI8" s="5">
        <v>72.112542857142856</v>
      </c>
      <c r="BJ8" s="5">
        <v>37.733333333333334</v>
      </c>
      <c r="BK8" s="5">
        <v>1.64230769230769</v>
      </c>
      <c r="BL8" s="5">
        <v>0.60035186733556301</v>
      </c>
      <c r="BM8" s="98">
        <v>1309.1189999999999</v>
      </c>
      <c r="BN8" s="5">
        <v>1.29780194</v>
      </c>
      <c r="BO8" s="6"/>
      <c r="BP8" s="6"/>
      <c r="BQ8" s="6"/>
      <c r="BR8" s="6"/>
      <c r="BS8" s="2" t="s">
        <v>317</v>
      </c>
      <c r="BT8" s="52" t="s">
        <v>431</v>
      </c>
    </row>
    <row r="9" spans="1:72">
      <c r="A9" s="2" t="s">
        <v>434</v>
      </c>
      <c r="B9" s="2" t="s">
        <v>447</v>
      </c>
      <c r="C9" s="2" t="s">
        <v>311</v>
      </c>
      <c r="D9" s="2" t="s">
        <v>441</v>
      </c>
      <c r="E9" s="2">
        <v>2700</v>
      </c>
      <c r="F9" s="5">
        <v>50.59</v>
      </c>
      <c r="G9" s="5">
        <v>0.36</v>
      </c>
      <c r="H9" s="5">
        <v>12.76</v>
      </c>
      <c r="I9" s="5">
        <v>11.74</v>
      </c>
      <c r="J9" s="5">
        <v>0.15</v>
      </c>
      <c r="K9" s="5">
        <v>12.26</v>
      </c>
      <c r="L9" s="5">
        <v>10.39</v>
      </c>
      <c r="M9" s="5">
        <v>0.93</v>
      </c>
      <c r="N9" s="5">
        <v>0.42</v>
      </c>
      <c r="O9" s="5">
        <v>0.05</v>
      </c>
      <c r="P9" s="5">
        <v>3.87</v>
      </c>
      <c r="Q9" s="5">
        <v>103.52</v>
      </c>
      <c r="R9" s="5">
        <v>67.397822702445396</v>
      </c>
      <c r="S9" s="5">
        <v>2157.6561913108799</v>
      </c>
      <c r="T9" s="5"/>
      <c r="U9" s="5"/>
      <c r="V9" s="5">
        <v>19</v>
      </c>
      <c r="W9" s="5">
        <v>132</v>
      </c>
      <c r="X9" s="5">
        <v>1048</v>
      </c>
      <c r="Y9" s="5">
        <v>67</v>
      </c>
      <c r="Z9" s="5">
        <v>461</v>
      </c>
      <c r="AA9" s="5">
        <v>83</v>
      </c>
      <c r="AB9" s="5">
        <v>40</v>
      </c>
      <c r="AC9" s="5"/>
      <c r="AD9" s="5">
        <v>150</v>
      </c>
      <c r="AE9" s="5">
        <v>68</v>
      </c>
      <c r="AF9" s="5">
        <v>19</v>
      </c>
      <c r="AG9" s="5">
        <v>21</v>
      </c>
      <c r="AH9" s="5">
        <v>1.41</v>
      </c>
      <c r="AI9" s="5"/>
      <c r="AJ9" s="5">
        <v>9.5</v>
      </c>
      <c r="AK9" s="5">
        <v>97</v>
      </c>
      <c r="AL9" s="5">
        <v>3.76</v>
      </c>
      <c r="AM9" s="5">
        <v>7.71</v>
      </c>
      <c r="AN9" s="5">
        <v>0.98</v>
      </c>
      <c r="AO9" s="5">
        <v>4.01</v>
      </c>
      <c r="AP9" s="5">
        <v>1.1399999999999999</v>
      </c>
      <c r="AQ9" s="5">
        <v>0.45</v>
      </c>
      <c r="AR9" s="5">
        <v>1.7</v>
      </c>
      <c r="AS9" s="5">
        <v>0.36</v>
      </c>
      <c r="AT9" s="5">
        <v>2.78</v>
      </c>
      <c r="AU9" s="5">
        <v>0.68</v>
      </c>
      <c r="AV9" s="5">
        <v>1.99</v>
      </c>
      <c r="AW9" s="5">
        <v>0.33</v>
      </c>
      <c r="AX9" s="5">
        <v>2.15</v>
      </c>
      <c r="AY9" s="5">
        <v>0.33</v>
      </c>
      <c r="AZ9" s="5">
        <v>0.72</v>
      </c>
      <c r="BA9" s="5">
        <v>0.13</v>
      </c>
      <c r="BB9" s="5">
        <v>0.59</v>
      </c>
      <c r="BC9" s="5">
        <v>2.7</v>
      </c>
      <c r="BD9" s="5">
        <v>0.7</v>
      </c>
      <c r="BE9" s="5">
        <v>0.23</v>
      </c>
      <c r="BF9" s="5">
        <v>6.2</v>
      </c>
      <c r="BG9" s="5">
        <v>28.369999999999994</v>
      </c>
      <c r="BH9" s="5">
        <v>0.36132538569424971</v>
      </c>
      <c r="BI9" s="5">
        <v>70.424346666666679</v>
      </c>
      <c r="BJ9" s="5">
        <v>35.444444444444443</v>
      </c>
      <c r="BK9" s="5">
        <v>2.1335813953488398</v>
      </c>
      <c r="BL9" s="5">
        <v>0.65533367037411505</v>
      </c>
      <c r="BM9" s="98">
        <v>1325.8889999999999</v>
      </c>
      <c r="BN9" s="5">
        <v>1.3517647500000001</v>
      </c>
      <c r="BO9" s="6"/>
      <c r="BP9" s="6"/>
      <c r="BQ9" s="6"/>
      <c r="BR9" s="6"/>
      <c r="BS9" s="2" t="s">
        <v>317</v>
      </c>
      <c r="BT9" s="52" t="s">
        <v>431</v>
      </c>
    </row>
    <row r="10" spans="1:72">
      <c r="A10" s="2" t="s">
        <v>320</v>
      </c>
      <c r="B10" s="2" t="s">
        <v>447</v>
      </c>
      <c r="C10" s="2" t="s">
        <v>311</v>
      </c>
      <c r="D10" s="2" t="s">
        <v>441</v>
      </c>
      <c r="E10" s="2">
        <v>2700</v>
      </c>
      <c r="F10" s="5">
        <v>49.9</v>
      </c>
      <c r="G10" s="5">
        <v>0.3</v>
      </c>
      <c r="H10" s="5">
        <v>14.1</v>
      </c>
      <c r="I10" s="5">
        <v>10.17</v>
      </c>
      <c r="J10" s="5">
        <v>0.13</v>
      </c>
      <c r="K10" s="5">
        <v>12.51</v>
      </c>
      <c r="L10" s="5">
        <v>11.37</v>
      </c>
      <c r="M10" s="5">
        <v>0.96</v>
      </c>
      <c r="N10" s="5">
        <v>0.51</v>
      </c>
      <c r="O10" s="5">
        <v>0.05</v>
      </c>
      <c r="P10" s="5">
        <v>4.74</v>
      </c>
      <c r="Q10" s="5">
        <v>104.74</v>
      </c>
      <c r="R10" s="5">
        <v>70.888597037654705</v>
      </c>
      <c r="S10" s="5">
        <v>1798.0468260924001</v>
      </c>
      <c r="T10" s="5"/>
      <c r="U10" s="5"/>
      <c r="V10" s="5">
        <v>17</v>
      </c>
      <c r="W10" s="5">
        <v>102</v>
      </c>
      <c r="X10" s="5">
        <v>943</v>
      </c>
      <c r="Y10" s="5">
        <v>63</v>
      </c>
      <c r="Z10" s="5">
        <v>423</v>
      </c>
      <c r="AA10" s="5">
        <v>20</v>
      </c>
      <c r="AB10" s="5">
        <v>700</v>
      </c>
      <c r="AC10" s="5"/>
      <c r="AD10" s="5">
        <v>240</v>
      </c>
      <c r="AE10" s="5">
        <v>142</v>
      </c>
      <c r="AF10" s="5">
        <v>17</v>
      </c>
      <c r="AG10" s="5">
        <v>23</v>
      </c>
      <c r="AH10" s="5">
        <v>0.95</v>
      </c>
      <c r="AI10" s="5"/>
      <c r="AJ10" s="5">
        <v>25.8</v>
      </c>
      <c r="AK10" s="5">
        <v>80</v>
      </c>
      <c r="AL10" s="5">
        <v>2.9</v>
      </c>
      <c r="AM10" s="5">
        <v>6.02</v>
      </c>
      <c r="AN10" s="5">
        <v>0.79</v>
      </c>
      <c r="AO10" s="5">
        <v>3.24</v>
      </c>
      <c r="AP10" s="5">
        <v>0.97</v>
      </c>
      <c r="AQ10" s="5">
        <v>0.36</v>
      </c>
      <c r="AR10" s="5">
        <v>1.49</v>
      </c>
      <c r="AS10" s="5">
        <v>0.32</v>
      </c>
      <c r="AT10" s="5">
        <v>2.5</v>
      </c>
      <c r="AU10" s="5">
        <v>0.61</v>
      </c>
      <c r="AV10" s="5">
        <v>1.73</v>
      </c>
      <c r="AW10" s="5">
        <v>0.28999999999999998</v>
      </c>
      <c r="AX10" s="5">
        <v>1.92</v>
      </c>
      <c r="AY10" s="5">
        <v>0.3</v>
      </c>
      <c r="AZ10" s="5">
        <v>0.72</v>
      </c>
      <c r="BA10" s="5">
        <v>0.1</v>
      </c>
      <c r="BB10" s="5">
        <v>0.85</v>
      </c>
      <c r="BC10" s="5">
        <v>3.1</v>
      </c>
      <c r="BD10" s="5">
        <v>0.73</v>
      </c>
      <c r="BE10" s="5">
        <v>0.23</v>
      </c>
      <c r="BF10" s="5">
        <v>5.5699999999999994</v>
      </c>
      <c r="BG10" s="5">
        <v>23.44</v>
      </c>
      <c r="BH10" s="5">
        <v>0.3156405668133675</v>
      </c>
      <c r="BI10" s="5">
        <v>70.392046153846152</v>
      </c>
      <c r="BJ10" s="5">
        <v>47</v>
      </c>
      <c r="BK10" s="5">
        <v>1.8427083333333301</v>
      </c>
      <c r="BL10" s="5">
        <v>0.64318670742753603</v>
      </c>
      <c r="BM10" s="98">
        <v>1277.25</v>
      </c>
      <c r="BN10" s="5">
        <v>1.17506855</v>
      </c>
      <c r="BO10" s="6"/>
      <c r="BP10" s="6"/>
      <c r="BQ10" s="6"/>
      <c r="BR10" s="6"/>
      <c r="BS10" s="2" t="s">
        <v>317</v>
      </c>
      <c r="BT10" s="52" t="s">
        <v>431</v>
      </c>
    </row>
    <row r="11" spans="1:72">
      <c r="A11" s="2" t="s">
        <v>321</v>
      </c>
      <c r="B11" s="2" t="s">
        <v>447</v>
      </c>
      <c r="C11" s="2" t="s">
        <v>311</v>
      </c>
      <c r="D11" s="2" t="s">
        <v>441</v>
      </c>
      <c r="E11" s="2">
        <v>2700</v>
      </c>
      <c r="F11" s="5">
        <v>50.84</v>
      </c>
      <c r="G11" s="5">
        <v>0.27</v>
      </c>
      <c r="H11" s="5">
        <v>11.53</v>
      </c>
      <c r="I11" s="5">
        <v>10.75</v>
      </c>
      <c r="J11" s="5">
        <v>0.14000000000000001</v>
      </c>
      <c r="K11" s="5">
        <v>14.12</v>
      </c>
      <c r="L11" s="5">
        <v>10.76</v>
      </c>
      <c r="M11" s="5">
        <v>0.95</v>
      </c>
      <c r="N11" s="5">
        <v>0.6</v>
      </c>
      <c r="O11" s="5">
        <v>0.04</v>
      </c>
      <c r="P11" s="5">
        <v>4.21</v>
      </c>
      <c r="Q11" s="5">
        <v>104.21</v>
      </c>
      <c r="R11" s="5">
        <v>72.223597537540499</v>
      </c>
      <c r="S11" s="5">
        <v>1618.2421434831601</v>
      </c>
      <c r="T11" s="5"/>
      <c r="U11" s="5"/>
      <c r="V11" s="5">
        <v>14</v>
      </c>
      <c r="W11" s="5">
        <v>94</v>
      </c>
      <c r="X11" s="5">
        <v>1349</v>
      </c>
      <c r="Y11" s="5">
        <v>61</v>
      </c>
      <c r="Z11" s="5">
        <v>489</v>
      </c>
      <c r="AA11" s="5">
        <v>20</v>
      </c>
      <c r="AB11" s="5">
        <v>48</v>
      </c>
      <c r="AC11" s="5"/>
      <c r="AD11" s="5">
        <v>236</v>
      </c>
      <c r="AE11" s="5">
        <v>77</v>
      </c>
      <c r="AF11" s="5">
        <v>15</v>
      </c>
      <c r="AG11" s="5">
        <v>21</v>
      </c>
      <c r="AH11" s="5">
        <v>1.07</v>
      </c>
      <c r="AI11" s="5"/>
      <c r="AJ11" s="5">
        <v>29.7</v>
      </c>
      <c r="AK11" s="5">
        <v>90</v>
      </c>
      <c r="AL11" s="5">
        <v>2.96</v>
      </c>
      <c r="AM11" s="5">
        <v>6.19</v>
      </c>
      <c r="AN11" s="5">
        <v>0.78</v>
      </c>
      <c r="AO11" s="5">
        <v>3.13</v>
      </c>
      <c r="AP11" s="5">
        <v>0.91</v>
      </c>
      <c r="AQ11" s="5">
        <v>0.39</v>
      </c>
      <c r="AR11" s="5">
        <v>1.31</v>
      </c>
      <c r="AS11" s="5">
        <v>0.28999999999999998</v>
      </c>
      <c r="AT11" s="5">
        <v>2.2599999999999998</v>
      </c>
      <c r="AU11" s="5">
        <v>0.55000000000000004</v>
      </c>
      <c r="AV11" s="5">
        <v>1.55</v>
      </c>
      <c r="AW11" s="5">
        <v>0.26</v>
      </c>
      <c r="AX11" s="5">
        <v>1.72</v>
      </c>
      <c r="AY11" s="5">
        <v>0.26</v>
      </c>
      <c r="AZ11" s="5">
        <v>0.67</v>
      </c>
      <c r="BA11" s="5">
        <v>0.09</v>
      </c>
      <c r="BB11" s="5">
        <v>0.72</v>
      </c>
      <c r="BC11" s="5">
        <v>3.2</v>
      </c>
      <c r="BD11" s="5">
        <v>0.68</v>
      </c>
      <c r="BE11" s="5">
        <v>0.25</v>
      </c>
      <c r="BF11" s="5">
        <v>5.01</v>
      </c>
      <c r="BG11" s="5">
        <v>22.560000000000002</v>
      </c>
      <c r="BH11" s="5">
        <v>0.34830465107463709</v>
      </c>
      <c r="BI11" s="5">
        <v>69.091785714285706</v>
      </c>
      <c r="BJ11" s="5">
        <v>42.703703703703695</v>
      </c>
      <c r="BK11" s="5">
        <v>2.09953488372093</v>
      </c>
      <c r="BL11" s="5">
        <v>0.63124052072800796</v>
      </c>
      <c r="BM11" s="98">
        <v>1291.7819999999999</v>
      </c>
      <c r="BN11" s="5">
        <v>1.1670874600000001</v>
      </c>
      <c r="BO11" s="6"/>
      <c r="BP11" s="6"/>
      <c r="BQ11" s="6"/>
      <c r="BR11" s="6"/>
      <c r="BS11" s="2" t="s">
        <v>317</v>
      </c>
      <c r="BT11" s="52" t="s">
        <v>431</v>
      </c>
    </row>
    <row r="12" spans="1:72">
      <c r="A12" s="2" t="s">
        <v>435</v>
      </c>
      <c r="B12" s="2" t="s">
        <v>447</v>
      </c>
      <c r="C12" s="2" t="s">
        <v>311</v>
      </c>
      <c r="D12" s="2" t="s">
        <v>441</v>
      </c>
      <c r="E12" s="2">
        <v>2700</v>
      </c>
      <c r="F12" s="5">
        <v>50.89</v>
      </c>
      <c r="G12" s="5">
        <v>0.31</v>
      </c>
      <c r="H12" s="5">
        <v>12</v>
      </c>
      <c r="I12" s="5">
        <v>11.3</v>
      </c>
      <c r="J12" s="5">
        <v>0.14000000000000001</v>
      </c>
      <c r="K12" s="5">
        <v>12.82</v>
      </c>
      <c r="L12" s="5">
        <v>11.42</v>
      </c>
      <c r="M12" s="5">
        <v>0.98</v>
      </c>
      <c r="N12" s="5">
        <v>0.1</v>
      </c>
      <c r="O12" s="5">
        <v>0.04</v>
      </c>
      <c r="P12" s="5">
        <v>4.51</v>
      </c>
      <c r="Q12" s="5">
        <v>104.51</v>
      </c>
      <c r="R12" s="5">
        <v>69.191710008140802</v>
      </c>
      <c r="S12" s="5">
        <v>1857.98172029548</v>
      </c>
      <c r="T12" s="5"/>
      <c r="U12" s="5"/>
      <c r="V12" s="5">
        <v>16</v>
      </c>
      <c r="W12" s="5">
        <v>88</v>
      </c>
      <c r="X12" s="5">
        <v>1218</v>
      </c>
      <c r="Y12" s="5">
        <v>67</v>
      </c>
      <c r="Z12" s="5">
        <v>545</v>
      </c>
      <c r="AA12" s="5">
        <v>84</v>
      </c>
      <c r="AB12" s="5">
        <v>62</v>
      </c>
      <c r="AC12" s="5"/>
      <c r="AD12" s="5">
        <v>36</v>
      </c>
      <c r="AE12" s="5">
        <v>72</v>
      </c>
      <c r="AF12" s="5">
        <v>17</v>
      </c>
      <c r="AG12" s="5">
        <v>19</v>
      </c>
      <c r="AH12" s="5">
        <v>1.17</v>
      </c>
      <c r="AI12" s="5"/>
      <c r="AJ12" s="5">
        <v>9.9</v>
      </c>
      <c r="AK12" s="5">
        <v>34</v>
      </c>
      <c r="AL12" s="5">
        <v>3.09</v>
      </c>
      <c r="AM12" s="5">
        <v>6.56</v>
      </c>
      <c r="AN12" s="5">
        <v>0.84</v>
      </c>
      <c r="AO12" s="5">
        <v>3.31</v>
      </c>
      <c r="AP12" s="5">
        <v>0.92</v>
      </c>
      <c r="AQ12" s="5">
        <v>0.4</v>
      </c>
      <c r="AR12" s="5">
        <v>1.43</v>
      </c>
      <c r="AS12" s="5">
        <v>0.31</v>
      </c>
      <c r="AT12" s="5">
        <v>2.38</v>
      </c>
      <c r="AU12" s="5">
        <v>0.56999999999999995</v>
      </c>
      <c r="AV12" s="5">
        <v>1.64</v>
      </c>
      <c r="AW12" s="5">
        <v>0.27</v>
      </c>
      <c r="AX12" s="5">
        <v>1.84</v>
      </c>
      <c r="AY12" s="5">
        <v>0.28000000000000003</v>
      </c>
      <c r="AZ12" s="5">
        <v>0.65</v>
      </c>
      <c r="BA12" s="5">
        <v>0.13</v>
      </c>
      <c r="BB12" s="5">
        <v>0.22</v>
      </c>
      <c r="BC12" s="5">
        <v>3</v>
      </c>
      <c r="BD12" s="5">
        <v>0.56000000000000005</v>
      </c>
      <c r="BE12" s="5">
        <v>0.2</v>
      </c>
      <c r="BF12" s="5">
        <v>5.2500000000000009</v>
      </c>
      <c r="BG12" s="5">
        <v>23.84</v>
      </c>
      <c r="BH12" s="5">
        <v>0.36483339914759194</v>
      </c>
      <c r="BI12" s="5">
        <v>72.6267142857143</v>
      </c>
      <c r="BJ12" s="5">
        <v>38.70967741935484</v>
      </c>
      <c r="BK12" s="5">
        <v>2.0488043478260902</v>
      </c>
      <c r="BL12" s="5">
        <v>0.64412511814744799</v>
      </c>
      <c r="BM12" s="98">
        <v>1312.38</v>
      </c>
      <c r="BN12" s="5">
        <v>1.2181886900000001</v>
      </c>
      <c r="BO12" s="6"/>
      <c r="BP12" s="6"/>
      <c r="BQ12" s="6"/>
      <c r="BR12" s="6"/>
      <c r="BS12" s="2" t="s">
        <v>317</v>
      </c>
      <c r="BT12" s="52" t="s">
        <v>431</v>
      </c>
    </row>
    <row r="13" spans="1:72">
      <c r="A13" s="2">
        <v>171756</v>
      </c>
      <c r="B13" s="2" t="s">
        <v>368</v>
      </c>
      <c r="C13" s="2" t="s">
        <v>311</v>
      </c>
      <c r="D13" s="2" t="s">
        <v>430</v>
      </c>
      <c r="E13" s="2">
        <v>3717</v>
      </c>
      <c r="F13" s="5">
        <v>45.58</v>
      </c>
      <c r="G13" s="5">
        <v>0.22</v>
      </c>
      <c r="H13" s="5">
        <v>15.33</v>
      </c>
      <c r="I13" s="5">
        <v>9.32</v>
      </c>
      <c r="J13" s="5">
        <v>0.18</v>
      </c>
      <c r="K13" s="5">
        <v>16.3</v>
      </c>
      <c r="L13" s="5">
        <v>7.82</v>
      </c>
      <c r="M13" s="5">
        <v>0.78</v>
      </c>
      <c r="N13" s="5">
        <v>7.0000000000000007E-2</v>
      </c>
      <c r="O13" s="5">
        <v>0.05</v>
      </c>
      <c r="P13" s="5">
        <v>4.6500000000000004</v>
      </c>
      <c r="Q13" s="5">
        <v>100.3</v>
      </c>
      <c r="R13" s="5">
        <f t="shared" ref="R13:R40" si="0">(K13/40.31)/(K13/40.31+I13*2/159.7)*100</f>
        <v>77.600804939435776</v>
      </c>
      <c r="S13" s="5">
        <v>1229.8</v>
      </c>
      <c r="T13" s="5"/>
      <c r="U13" s="5"/>
      <c r="V13" s="5"/>
      <c r="W13" s="5"/>
      <c r="X13" s="5">
        <v>1000</v>
      </c>
      <c r="Y13" s="5"/>
      <c r="Z13" s="5">
        <v>540</v>
      </c>
      <c r="AA13" s="5"/>
      <c r="AB13" s="5"/>
      <c r="AC13" s="5"/>
      <c r="AD13" s="5"/>
      <c r="AE13" s="5">
        <v>55</v>
      </c>
      <c r="AF13" s="5">
        <v>10</v>
      </c>
      <c r="AG13" s="5">
        <v>18</v>
      </c>
      <c r="AH13" s="5"/>
      <c r="AI13" s="5"/>
      <c r="AJ13" s="5"/>
      <c r="AK13" s="5">
        <v>21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>
        <f t="shared" ref="BI13:BI40" si="1">I13*0.8998/J13</f>
        <v>46.589644444444446</v>
      </c>
      <c r="BJ13" s="5">
        <v>69.681818181818201</v>
      </c>
      <c r="BK13" s="5"/>
      <c r="BL13" s="5"/>
      <c r="BM13" s="98">
        <v>1261.0429999999999</v>
      </c>
      <c r="BN13" s="5">
        <v>1.2889202099999999</v>
      </c>
      <c r="BO13" s="6"/>
      <c r="BP13" s="6"/>
      <c r="BQ13" s="6"/>
      <c r="BR13" s="6"/>
      <c r="BS13" s="2" t="s">
        <v>317</v>
      </c>
      <c r="BT13" s="52" t="s">
        <v>420</v>
      </c>
    </row>
    <row r="14" spans="1:72">
      <c r="A14" s="2" t="s">
        <v>367</v>
      </c>
      <c r="B14" s="2" t="s">
        <v>368</v>
      </c>
      <c r="C14" s="2" t="s">
        <v>311</v>
      </c>
      <c r="D14" s="2" t="s">
        <v>430</v>
      </c>
      <c r="E14" s="2">
        <v>3717</v>
      </c>
      <c r="F14" s="5">
        <v>51.1</v>
      </c>
      <c r="G14" s="5">
        <v>0.31</v>
      </c>
      <c r="H14" s="5">
        <v>17.18</v>
      </c>
      <c r="I14" s="5">
        <v>11.42</v>
      </c>
      <c r="J14" s="5">
        <v>0.23</v>
      </c>
      <c r="K14" s="5">
        <v>10.039999999999999</v>
      </c>
      <c r="L14" s="5">
        <v>8.58</v>
      </c>
      <c r="M14" s="5">
        <v>2.17</v>
      </c>
      <c r="N14" s="5">
        <v>0.14000000000000001</v>
      </c>
      <c r="O14" s="5">
        <v>0.03</v>
      </c>
      <c r="P14" s="5"/>
      <c r="Q14" s="5">
        <v>101.2</v>
      </c>
      <c r="R14" s="5">
        <f t="shared" si="0"/>
        <v>63.523952045039657</v>
      </c>
      <c r="S14" s="5">
        <v>1732.9</v>
      </c>
      <c r="T14" s="5"/>
      <c r="U14" s="5"/>
      <c r="V14" s="5"/>
      <c r="W14" s="5"/>
      <c r="X14" s="5">
        <v>329</v>
      </c>
      <c r="Y14" s="5"/>
      <c r="Z14" s="5">
        <v>177</v>
      </c>
      <c r="AA14" s="5"/>
      <c r="AB14" s="5"/>
      <c r="AC14" s="5"/>
      <c r="AD14" s="5">
        <v>0.77</v>
      </c>
      <c r="AE14" s="5">
        <v>71.599999999999994</v>
      </c>
      <c r="AF14" s="5">
        <v>11.8</v>
      </c>
      <c r="AG14" s="5">
        <v>21.1</v>
      </c>
      <c r="AH14" s="5">
        <v>0.67</v>
      </c>
      <c r="AI14" s="5"/>
      <c r="AJ14" s="5"/>
      <c r="AK14" s="5">
        <v>14</v>
      </c>
      <c r="AL14" s="5">
        <v>1.31</v>
      </c>
      <c r="AM14" s="5">
        <v>3.08</v>
      </c>
      <c r="AN14" s="5">
        <v>0.44</v>
      </c>
      <c r="AO14" s="5">
        <v>2.1</v>
      </c>
      <c r="AP14" s="5"/>
      <c r="AQ14" s="5">
        <v>0.23</v>
      </c>
      <c r="AR14" s="5">
        <v>0.24</v>
      </c>
      <c r="AS14" s="5">
        <v>1.08</v>
      </c>
      <c r="AT14" s="5">
        <v>1.69</v>
      </c>
      <c r="AU14" s="5">
        <v>0.42</v>
      </c>
      <c r="AV14" s="5">
        <v>1.4</v>
      </c>
      <c r="AW14" s="5"/>
      <c r="AX14" s="5">
        <v>1.57</v>
      </c>
      <c r="AY14" s="5">
        <v>0.25</v>
      </c>
      <c r="AZ14" s="5">
        <v>0.67</v>
      </c>
      <c r="BA14" s="5">
        <v>0.05</v>
      </c>
      <c r="BB14" s="5"/>
      <c r="BC14" s="5"/>
      <c r="BD14" s="5">
        <v>0.31</v>
      </c>
      <c r="BE14" s="5">
        <v>0.08</v>
      </c>
      <c r="BF14" s="5">
        <v>3.64</v>
      </c>
      <c r="BG14" s="5">
        <v>13.81</v>
      </c>
      <c r="BH14" s="5">
        <v>0.49280001713007099</v>
      </c>
      <c r="BI14" s="5">
        <f t="shared" si="1"/>
        <v>44.677026086956523</v>
      </c>
      <c r="BJ14" s="5">
        <v>55.419354838709701</v>
      </c>
      <c r="BK14" s="5">
        <f t="shared" ref="BK14:BK40" si="2">(AL14/0.237)/(AX14/0.17)</f>
        <v>0.59851111290279246</v>
      </c>
      <c r="BL14" s="5">
        <v>0.12645869171044682</v>
      </c>
      <c r="BM14" s="98">
        <v>1314.5840000000001</v>
      </c>
      <c r="BN14" s="5">
        <v>1.4442999999999999</v>
      </c>
      <c r="BO14" s="6"/>
      <c r="BP14" s="6"/>
      <c r="BQ14" s="6"/>
      <c r="BR14" s="6"/>
      <c r="BS14" s="2" t="s">
        <v>317</v>
      </c>
      <c r="BT14" s="52" t="s">
        <v>420</v>
      </c>
    </row>
    <row r="15" spans="1:72">
      <c r="A15" s="2">
        <v>242670</v>
      </c>
      <c r="B15" s="2" t="s">
        <v>368</v>
      </c>
      <c r="C15" s="2" t="s">
        <v>375</v>
      </c>
      <c r="D15" s="2" t="s">
        <v>422</v>
      </c>
      <c r="E15" s="2">
        <v>3700</v>
      </c>
      <c r="F15" s="5">
        <v>50.04</v>
      </c>
      <c r="G15" s="5">
        <v>0.31</v>
      </c>
      <c r="H15" s="5">
        <v>18.72</v>
      </c>
      <c r="I15" s="5">
        <v>10.84</v>
      </c>
      <c r="J15" s="5">
        <v>0.23</v>
      </c>
      <c r="K15" s="5">
        <v>8.9</v>
      </c>
      <c r="L15" s="5">
        <v>9.42</v>
      </c>
      <c r="M15" s="5">
        <v>0.08</v>
      </c>
      <c r="N15" s="5">
        <v>1.24</v>
      </c>
      <c r="O15" s="5">
        <v>0.21</v>
      </c>
      <c r="P15" s="5">
        <v>1.02</v>
      </c>
      <c r="Q15" s="5">
        <v>101.01</v>
      </c>
      <c r="R15" s="5">
        <f t="shared" si="0"/>
        <v>61.924823204505572</v>
      </c>
      <c r="S15" s="5">
        <v>1732.9</v>
      </c>
      <c r="T15" s="5"/>
      <c r="U15" s="5"/>
      <c r="V15" s="5"/>
      <c r="W15" s="5">
        <v>211</v>
      </c>
      <c r="X15" s="5">
        <v>257</v>
      </c>
      <c r="Y15" s="5">
        <v>63</v>
      </c>
      <c r="Z15" s="5">
        <v>179</v>
      </c>
      <c r="AA15" s="5"/>
      <c r="AB15" s="5"/>
      <c r="AC15" s="5">
        <v>15</v>
      </c>
      <c r="AD15" s="5">
        <v>4.9000000000000004</v>
      </c>
      <c r="AE15" s="5">
        <v>75</v>
      </c>
      <c r="AF15" s="5">
        <v>11.3</v>
      </c>
      <c r="AG15" s="5">
        <v>26</v>
      </c>
      <c r="AH15" s="5">
        <v>0.80100000000000005</v>
      </c>
      <c r="AI15" s="5"/>
      <c r="AJ15" s="5"/>
      <c r="AK15" s="5">
        <v>11</v>
      </c>
      <c r="AL15" s="5">
        <v>1.8260000000000001</v>
      </c>
      <c r="AM15" s="5">
        <v>4.2119999999999997</v>
      </c>
      <c r="AN15" s="5">
        <v>0.57099999999999995</v>
      </c>
      <c r="AO15" s="5">
        <v>2.6349999999999998</v>
      </c>
      <c r="AP15" s="5"/>
      <c r="AQ15" s="5">
        <v>0.27900000000000003</v>
      </c>
      <c r="AR15" s="5">
        <v>1.141</v>
      </c>
      <c r="AS15" s="5">
        <v>0.22800000000000001</v>
      </c>
      <c r="AT15" s="5">
        <v>1.7729999999999999</v>
      </c>
      <c r="AU15" s="5">
        <v>0.44600000000000001</v>
      </c>
      <c r="AV15" s="5">
        <v>1.615</v>
      </c>
      <c r="AW15" s="5">
        <v>0.24299999999999999</v>
      </c>
      <c r="AX15" s="5">
        <v>1.6679999999999999</v>
      </c>
      <c r="AY15" s="5">
        <v>0.27500000000000002</v>
      </c>
      <c r="AZ15" s="5">
        <v>1.012</v>
      </c>
      <c r="BA15" s="5"/>
      <c r="BB15" s="5"/>
      <c r="BC15" s="5">
        <v>3.39</v>
      </c>
      <c r="BD15" s="5">
        <v>0.32500000000000001</v>
      </c>
      <c r="BE15" s="5"/>
      <c r="BF15" s="5">
        <v>4.2469999999999999</v>
      </c>
      <c r="BG15" s="5">
        <v>16.911999999999999</v>
      </c>
      <c r="BH15" s="5">
        <v>0.422667592466001</v>
      </c>
      <c r="BI15" s="5">
        <f t="shared" si="1"/>
        <v>42.407965217391308</v>
      </c>
      <c r="BJ15" s="5">
        <v>60.387096774193502</v>
      </c>
      <c r="BK15" s="5">
        <f t="shared" si="2"/>
        <v>0.78524522154428367</v>
      </c>
      <c r="BL15" s="5">
        <v>0.56588305997537747</v>
      </c>
      <c r="BM15" s="98">
        <v>1296.472</v>
      </c>
      <c r="BN15" s="5">
        <v>1.26504365</v>
      </c>
      <c r="BO15" s="6"/>
      <c r="BP15" s="6"/>
      <c r="BQ15" s="6"/>
      <c r="BR15" s="6"/>
      <c r="BS15" s="2" t="s">
        <v>317</v>
      </c>
      <c r="BT15" s="52" t="s">
        <v>377</v>
      </c>
    </row>
    <row r="16" spans="1:72">
      <c r="A16" s="2">
        <v>242689</v>
      </c>
      <c r="B16" s="2" t="s">
        <v>368</v>
      </c>
      <c r="C16" s="2" t="s">
        <v>375</v>
      </c>
      <c r="D16" s="2" t="s">
        <v>422</v>
      </c>
      <c r="E16" s="2">
        <v>3700</v>
      </c>
      <c r="F16" s="5">
        <v>49.24</v>
      </c>
      <c r="G16" s="5">
        <v>0.3</v>
      </c>
      <c r="H16" s="5">
        <v>18.010000000000002</v>
      </c>
      <c r="I16" s="5">
        <v>11.14</v>
      </c>
      <c r="J16" s="5">
        <v>0.22</v>
      </c>
      <c r="K16" s="5">
        <v>9.4700000000000006</v>
      </c>
      <c r="L16" s="5">
        <v>9.43</v>
      </c>
      <c r="M16" s="5">
        <v>0.1</v>
      </c>
      <c r="N16" s="5">
        <v>1.9</v>
      </c>
      <c r="O16" s="5">
        <v>0.19</v>
      </c>
      <c r="P16" s="5">
        <v>0.96</v>
      </c>
      <c r="Q16" s="5">
        <v>100.96</v>
      </c>
      <c r="R16" s="5">
        <f t="shared" si="0"/>
        <v>62.74135895228217</v>
      </c>
      <c r="S16" s="5">
        <v>1677</v>
      </c>
      <c r="T16" s="5"/>
      <c r="U16" s="5"/>
      <c r="V16" s="5"/>
      <c r="W16" s="5">
        <v>240</v>
      </c>
      <c r="X16" s="5">
        <v>366</v>
      </c>
      <c r="Y16" s="5">
        <v>67</v>
      </c>
      <c r="Z16" s="5">
        <v>176</v>
      </c>
      <c r="AA16" s="5"/>
      <c r="AB16" s="5"/>
      <c r="AC16" s="5">
        <v>15</v>
      </c>
      <c r="AD16" s="5">
        <v>6.8</v>
      </c>
      <c r="AE16" s="5">
        <v>53</v>
      </c>
      <c r="AF16" s="5">
        <v>10.9</v>
      </c>
      <c r="AG16" s="5">
        <v>24.4</v>
      </c>
      <c r="AH16" s="5">
        <v>0.40600000000000003</v>
      </c>
      <c r="AI16" s="5"/>
      <c r="AJ16" s="5"/>
      <c r="AK16" s="5">
        <v>2</v>
      </c>
      <c r="AL16" s="5">
        <v>1.0149999999999999</v>
      </c>
      <c r="AM16" s="5">
        <v>2.827</v>
      </c>
      <c r="AN16" s="5">
        <v>0.41599999999999998</v>
      </c>
      <c r="AO16" s="5">
        <v>1.9990000000000001</v>
      </c>
      <c r="AP16" s="5"/>
      <c r="AQ16" s="5">
        <v>0.253</v>
      </c>
      <c r="AR16" s="5">
        <v>1.0409999999999999</v>
      </c>
      <c r="AS16" s="5">
        <v>0.21099999999999999</v>
      </c>
      <c r="AT16" s="5">
        <v>1.7</v>
      </c>
      <c r="AU16" s="5">
        <v>0.42499999999999999</v>
      </c>
      <c r="AV16" s="5">
        <v>1.5329999999999999</v>
      </c>
      <c r="AW16" s="5">
        <v>0.23</v>
      </c>
      <c r="AX16" s="5">
        <v>1.5780000000000001</v>
      </c>
      <c r="AY16" s="5">
        <v>0.255</v>
      </c>
      <c r="AZ16" s="5">
        <v>0.84899999999999998</v>
      </c>
      <c r="BA16" s="5"/>
      <c r="BB16" s="5"/>
      <c r="BC16" s="5">
        <v>3.9</v>
      </c>
      <c r="BD16" s="5">
        <v>0.23699999999999999</v>
      </c>
      <c r="BE16" s="5"/>
      <c r="BF16" s="5">
        <v>4.0209999999999999</v>
      </c>
      <c r="BG16" s="5">
        <v>13.483000000000001</v>
      </c>
      <c r="BH16" s="5">
        <v>0.38541374474053303</v>
      </c>
      <c r="BI16" s="5">
        <f t="shared" si="1"/>
        <v>45.562600000000003</v>
      </c>
      <c r="BJ16" s="5">
        <v>60.033333333333303</v>
      </c>
      <c r="BK16" s="5">
        <f t="shared" si="2"/>
        <v>0.46138090730669062</v>
      </c>
      <c r="BL16" s="5">
        <v>0.54573376629383963</v>
      </c>
      <c r="BM16" s="98">
        <v>1312.9839999999999</v>
      </c>
      <c r="BN16" s="5">
        <v>1.4980465199999999</v>
      </c>
      <c r="BO16" s="6"/>
      <c r="BP16" s="6"/>
      <c r="BQ16" s="6"/>
      <c r="BR16" s="6"/>
      <c r="BS16" s="2" t="s">
        <v>317</v>
      </c>
      <c r="BT16" s="52" t="s">
        <v>377</v>
      </c>
    </row>
    <row r="17" spans="1:72">
      <c r="A17" s="2">
        <v>242718</v>
      </c>
      <c r="B17" s="2" t="s">
        <v>368</v>
      </c>
      <c r="C17" s="2" t="s">
        <v>375</v>
      </c>
      <c r="D17" s="2" t="s">
        <v>422</v>
      </c>
      <c r="E17" s="2">
        <v>3700</v>
      </c>
      <c r="F17" s="5">
        <v>49.56</v>
      </c>
      <c r="G17" s="5">
        <v>0.23</v>
      </c>
      <c r="H17" s="5">
        <v>16.88</v>
      </c>
      <c r="I17" s="5">
        <v>10.46</v>
      </c>
      <c r="J17" s="5">
        <v>0.17</v>
      </c>
      <c r="K17" s="5">
        <v>13.91</v>
      </c>
      <c r="L17" s="5">
        <v>7.48</v>
      </c>
      <c r="M17" s="5">
        <v>0.01</v>
      </c>
      <c r="N17" s="5">
        <v>1.07</v>
      </c>
      <c r="O17" s="5">
        <v>0.22</v>
      </c>
      <c r="P17" s="5">
        <v>4.84</v>
      </c>
      <c r="Q17" s="5">
        <v>104.83</v>
      </c>
      <c r="R17" s="5">
        <f t="shared" si="0"/>
        <v>72.484032921590483</v>
      </c>
      <c r="S17" s="5">
        <v>1285.7</v>
      </c>
      <c r="T17" s="5"/>
      <c r="U17" s="5"/>
      <c r="V17" s="5"/>
      <c r="W17" s="5">
        <v>186</v>
      </c>
      <c r="X17" s="5">
        <v>921</v>
      </c>
      <c r="Y17" s="5">
        <v>74</v>
      </c>
      <c r="Z17" s="5">
        <v>423</v>
      </c>
      <c r="AA17" s="5"/>
      <c r="AB17" s="5"/>
      <c r="AC17" s="5">
        <v>10.8</v>
      </c>
      <c r="AD17" s="5">
        <v>2.5</v>
      </c>
      <c r="AE17" s="5">
        <v>62</v>
      </c>
      <c r="AF17" s="5">
        <v>8.9</v>
      </c>
      <c r="AG17" s="5">
        <v>15.1</v>
      </c>
      <c r="AH17" s="5">
        <v>0.27700000000000002</v>
      </c>
      <c r="AI17" s="5"/>
      <c r="AJ17" s="5"/>
      <c r="AK17" s="5">
        <v>16</v>
      </c>
      <c r="AL17" s="5">
        <v>0.67500000000000004</v>
      </c>
      <c r="AM17" s="5">
        <v>1.599</v>
      </c>
      <c r="AN17" s="5">
        <v>0.22800000000000001</v>
      </c>
      <c r="AO17" s="5">
        <v>1.149</v>
      </c>
      <c r="AP17" s="5"/>
      <c r="AQ17" s="5">
        <v>0.126</v>
      </c>
      <c r="AR17" s="5">
        <v>0.71099999999999997</v>
      </c>
      <c r="AS17" s="5">
        <v>0.157</v>
      </c>
      <c r="AT17" s="5">
        <v>1.3089999999999999</v>
      </c>
      <c r="AU17" s="5">
        <v>0.35099999999999998</v>
      </c>
      <c r="AV17" s="5">
        <v>1.2430000000000001</v>
      </c>
      <c r="AW17" s="5">
        <v>0.182</v>
      </c>
      <c r="AX17" s="5">
        <v>1.2350000000000001</v>
      </c>
      <c r="AY17" s="5">
        <v>0.188</v>
      </c>
      <c r="AZ17" s="5">
        <v>0.56299999999999994</v>
      </c>
      <c r="BA17" s="5"/>
      <c r="BB17" s="5"/>
      <c r="BC17" s="5">
        <v>2.69</v>
      </c>
      <c r="BD17" s="5">
        <v>0.11600000000000001</v>
      </c>
      <c r="BE17" s="5"/>
      <c r="BF17" s="5">
        <v>3.1989999999999998</v>
      </c>
      <c r="BG17" s="5">
        <v>9.1530000000000005</v>
      </c>
      <c r="BH17" s="5">
        <v>0.39540595293751002</v>
      </c>
      <c r="BI17" s="5">
        <f t="shared" si="1"/>
        <v>55.364164705882352</v>
      </c>
      <c r="BJ17" s="5">
        <v>73.391304347826093</v>
      </c>
      <c r="BK17" s="5">
        <f t="shared" si="2"/>
        <v>0.39204632808896639</v>
      </c>
      <c r="BL17" s="5">
        <v>0.47625520848724845</v>
      </c>
      <c r="BM17" s="98">
        <v>1278.107</v>
      </c>
      <c r="BN17" s="5">
        <v>1.17398059</v>
      </c>
      <c r="BO17" s="6"/>
      <c r="BP17" s="6"/>
      <c r="BQ17" s="6"/>
      <c r="BR17" s="6"/>
      <c r="BS17" s="2" t="s">
        <v>317</v>
      </c>
      <c r="BT17" s="52" t="s">
        <v>377</v>
      </c>
    </row>
    <row r="18" spans="1:72">
      <c r="A18" s="2">
        <v>242729</v>
      </c>
      <c r="B18" s="2" t="s">
        <v>368</v>
      </c>
      <c r="C18" s="2" t="s">
        <v>375</v>
      </c>
      <c r="D18" s="2" t="s">
        <v>422</v>
      </c>
      <c r="E18" s="2">
        <v>3700</v>
      </c>
      <c r="F18" s="5">
        <v>48.15</v>
      </c>
      <c r="G18" s="5">
        <v>0.2</v>
      </c>
      <c r="H18" s="5">
        <v>13.86</v>
      </c>
      <c r="I18" s="5">
        <v>11.38</v>
      </c>
      <c r="J18" s="5">
        <v>0.24</v>
      </c>
      <c r="K18" s="5">
        <v>14.75</v>
      </c>
      <c r="L18" s="5">
        <v>10.5</v>
      </c>
      <c r="M18" s="5">
        <v>7.0000000000000007E-2</v>
      </c>
      <c r="N18" s="5">
        <v>0.64</v>
      </c>
      <c r="O18" s="5">
        <v>0.21</v>
      </c>
      <c r="P18" s="5">
        <v>3.21</v>
      </c>
      <c r="Q18" s="5">
        <v>103.21</v>
      </c>
      <c r="R18" s="5">
        <f t="shared" si="0"/>
        <v>71.969232429418781</v>
      </c>
      <c r="S18" s="5">
        <v>1118</v>
      </c>
      <c r="T18" s="5"/>
      <c r="U18" s="5"/>
      <c r="V18" s="5"/>
      <c r="W18" s="5">
        <v>162</v>
      </c>
      <c r="X18" s="5">
        <v>1760</v>
      </c>
      <c r="Y18" s="5">
        <v>76</v>
      </c>
      <c r="Z18" s="5">
        <v>645</v>
      </c>
      <c r="AA18" s="5"/>
      <c r="AB18" s="5"/>
      <c r="AC18" s="5">
        <v>10</v>
      </c>
      <c r="AD18" s="5">
        <v>1.5</v>
      </c>
      <c r="AE18" s="5">
        <v>26</v>
      </c>
      <c r="AF18" s="5">
        <v>6</v>
      </c>
      <c r="AG18" s="5">
        <v>12.9</v>
      </c>
      <c r="AH18" s="5">
        <v>0.28499999999999998</v>
      </c>
      <c r="AI18" s="5"/>
      <c r="AJ18" s="5"/>
      <c r="AK18" s="5">
        <v>7</v>
      </c>
      <c r="AL18" s="5">
        <v>0.37</v>
      </c>
      <c r="AM18" s="5">
        <v>0.91500000000000004</v>
      </c>
      <c r="AN18" s="5">
        <v>0.128</v>
      </c>
      <c r="AO18" s="5">
        <v>0.60599999999999998</v>
      </c>
      <c r="AP18" s="5"/>
      <c r="AQ18" s="5">
        <v>8.1000000000000003E-2</v>
      </c>
      <c r="AR18" s="5">
        <v>0.34499999999999997</v>
      </c>
      <c r="AS18" s="5">
        <v>8.6999999999999994E-2</v>
      </c>
      <c r="AT18" s="5">
        <v>0.82099999999999995</v>
      </c>
      <c r="AU18" s="5">
        <v>0.23400000000000001</v>
      </c>
      <c r="AV18" s="5">
        <v>0.94399999999999995</v>
      </c>
      <c r="AW18" s="5">
        <v>0.153</v>
      </c>
      <c r="AX18" s="5">
        <v>1.0940000000000001</v>
      </c>
      <c r="AY18" s="5">
        <v>0.184</v>
      </c>
      <c r="AZ18" s="5">
        <v>0.48299999999999998</v>
      </c>
      <c r="BA18" s="5"/>
      <c r="BB18" s="5"/>
      <c r="BC18" s="5">
        <v>5.1100000000000003</v>
      </c>
      <c r="BD18" s="5">
        <v>0.10100000000000001</v>
      </c>
      <c r="BE18" s="5"/>
      <c r="BF18" s="5">
        <v>2.609</v>
      </c>
      <c r="BG18" s="5">
        <v>5.9619999999999997</v>
      </c>
      <c r="BH18" s="5">
        <v>0.74218187331791796</v>
      </c>
      <c r="BI18" s="5">
        <f t="shared" si="1"/>
        <v>42.665516666666669</v>
      </c>
      <c r="BJ18" s="5">
        <v>69.3</v>
      </c>
      <c r="BK18" s="5">
        <f t="shared" si="2"/>
        <v>0.24259674943496942</v>
      </c>
      <c r="BL18" s="5">
        <v>0.26087884812981221</v>
      </c>
      <c r="BM18" s="98">
        <v>1327.259</v>
      </c>
      <c r="BN18" s="5">
        <v>1.52167462</v>
      </c>
      <c r="BO18" s="6"/>
      <c r="BP18" s="6"/>
      <c r="BQ18" s="6"/>
      <c r="BR18" s="6"/>
      <c r="BS18" s="2" t="s">
        <v>317</v>
      </c>
      <c r="BT18" s="52" t="s">
        <v>377</v>
      </c>
    </row>
    <row r="19" spans="1:72">
      <c r="A19" s="2">
        <v>242733</v>
      </c>
      <c r="B19" s="2" t="s">
        <v>368</v>
      </c>
      <c r="C19" s="2" t="s">
        <v>375</v>
      </c>
      <c r="D19" s="2" t="s">
        <v>422</v>
      </c>
      <c r="E19" s="2">
        <v>3700</v>
      </c>
      <c r="F19" s="5">
        <v>50.02</v>
      </c>
      <c r="G19" s="5">
        <v>0.37</v>
      </c>
      <c r="H19" s="5">
        <v>17.77</v>
      </c>
      <c r="I19" s="5">
        <v>11.23</v>
      </c>
      <c r="J19" s="5">
        <v>0.15</v>
      </c>
      <c r="K19" s="5">
        <v>9.58</v>
      </c>
      <c r="L19" s="5">
        <v>8.85</v>
      </c>
      <c r="M19" s="5">
        <v>0.1</v>
      </c>
      <c r="N19" s="5">
        <v>1.7</v>
      </c>
      <c r="O19" s="5">
        <v>0.23</v>
      </c>
      <c r="P19" s="5">
        <v>2.71</v>
      </c>
      <c r="Q19" s="5">
        <v>102.71</v>
      </c>
      <c r="R19" s="5">
        <f t="shared" si="0"/>
        <v>62.823190647712138</v>
      </c>
      <c r="S19" s="5">
        <v>2068.3000000000002</v>
      </c>
      <c r="T19" s="5"/>
      <c r="U19" s="5"/>
      <c r="V19" s="5"/>
      <c r="W19" s="5">
        <v>236</v>
      </c>
      <c r="X19" s="5">
        <v>109</v>
      </c>
      <c r="Y19" s="5">
        <v>55</v>
      </c>
      <c r="Z19" s="5">
        <v>125</v>
      </c>
      <c r="AA19" s="5"/>
      <c r="AB19" s="5"/>
      <c r="AC19" s="5">
        <v>14</v>
      </c>
      <c r="AD19" s="5">
        <v>1</v>
      </c>
      <c r="AE19" s="5">
        <v>58</v>
      </c>
      <c r="AF19" s="5">
        <v>13.7</v>
      </c>
      <c r="AG19" s="5">
        <v>19.8</v>
      </c>
      <c r="AH19" s="5">
        <v>0.40100000000000002</v>
      </c>
      <c r="AI19" s="5"/>
      <c r="AJ19" s="5"/>
      <c r="AK19" s="5">
        <v>5</v>
      </c>
      <c r="AL19" s="5">
        <v>0.58099999999999996</v>
      </c>
      <c r="AM19" s="5">
        <v>1.931</v>
      </c>
      <c r="AN19" s="5">
        <v>0.33400000000000002</v>
      </c>
      <c r="AO19" s="5">
        <v>1.962</v>
      </c>
      <c r="AP19" s="5"/>
      <c r="AQ19" s="5">
        <v>0.222</v>
      </c>
      <c r="AR19" s="5">
        <v>1.077</v>
      </c>
      <c r="AS19" s="5">
        <v>0.222</v>
      </c>
      <c r="AT19" s="5">
        <v>1.5980000000000001</v>
      </c>
      <c r="AU19" s="5">
        <v>0.42099999999999999</v>
      </c>
      <c r="AV19" s="5">
        <v>1.3180000000000001</v>
      </c>
      <c r="AW19" s="5">
        <v>0.23100000000000001</v>
      </c>
      <c r="AX19" s="5">
        <v>1.395</v>
      </c>
      <c r="AY19" s="5">
        <v>0.23</v>
      </c>
      <c r="AZ19" s="5">
        <v>0.55500000000000005</v>
      </c>
      <c r="BA19" s="5"/>
      <c r="BB19" s="5"/>
      <c r="BC19" s="5">
        <v>1.03</v>
      </c>
      <c r="BD19" s="5">
        <v>4.3999999999999997E-2</v>
      </c>
      <c r="BE19" s="5"/>
      <c r="BF19" s="5">
        <v>3.5950000000000002</v>
      </c>
      <c r="BG19" s="5">
        <v>11.522</v>
      </c>
      <c r="BH19" s="5">
        <v>0.66502113442751198</v>
      </c>
      <c r="BI19" s="5">
        <f t="shared" si="1"/>
        <v>67.365026666666679</v>
      </c>
      <c r="BJ19" s="5">
        <v>48.027027027027003</v>
      </c>
      <c r="BK19" s="5">
        <f t="shared" si="2"/>
        <v>0.29874627587979979</v>
      </c>
      <c r="BL19" s="5">
        <v>0.63867305025769827</v>
      </c>
      <c r="BM19" s="98">
        <v>1309.4190000000001</v>
      </c>
      <c r="BN19" s="5">
        <v>1.3808540199999999</v>
      </c>
      <c r="BO19" s="6"/>
      <c r="BP19" s="6"/>
      <c r="BQ19" s="6"/>
      <c r="BR19" s="6"/>
      <c r="BS19" s="2" t="s">
        <v>317</v>
      </c>
      <c r="BT19" s="52" t="s">
        <v>377</v>
      </c>
    </row>
    <row r="20" spans="1:72">
      <c r="A20" s="2">
        <v>242742</v>
      </c>
      <c r="B20" s="2" t="s">
        <v>368</v>
      </c>
      <c r="C20" s="2" t="s">
        <v>375</v>
      </c>
      <c r="D20" s="2" t="s">
        <v>422</v>
      </c>
      <c r="E20" s="2">
        <v>3700</v>
      </c>
      <c r="F20" s="5">
        <v>48.74</v>
      </c>
      <c r="G20" s="5">
        <v>0.22</v>
      </c>
      <c r="H20" s="5">
        <v>20.239999999999998</v>
      </c>
      <c r="I20" s="5">
        <v>9.01</v>
      </c>
      <c r="J20" s="5">
        <v>0.13</v>
      </c>
      <c r="K20" s="5">
        <v>11.26</v>
      </c>
      <c r="L20" s="5">
        <v>8.35</v>
      </c>
      <c r="M20" s="5">
        <v>0.1</v>
      </c>
      <c r="N20" s="5">
        <v>1.74</v>
      </c>
      <c r="O20" s="5">
        <v>0.21</v>
      </c>
      <c r="P20" s="5">
        <v>3.4</v>
      </c>
      <c r="Q20" s="5">
        <v>103.4</v>
      </c>
      <c r="R20" s="5">
        <f t="shared" si="0"/>
        <v>71.227765163719255</v>
      </c>
      <c r="S20" s="5">
        <v>1229.8</v>
      </c>
      <c r="T20" s="5"/>
      <c r="U20" s="5"/>
      <c r="V20" s="5"/>
      <c r="W20" s="5">
        <v>205</v>
      </c>
      <c r="X20" s="5">
        <v>371</v>
      </c>
      <c r="Y20" s="5">
        <v>46</v>
      </c>
      <c r="Z20" s="5">
        <v>154</v>
      </c>
      <c r="AA20" s="5"/>
      <c r="AB20" s="5"/>
      <c r="AC20" s="5">
        <v>12</v>
      </c>
      <c r="AD20" s="5">
        <v>1.3</v>
      </c>
      <c r="AE20" s="5">
        <v>75</v>
      </c>
      <c r="AF20" s="5">
        <v>8.4</v>
      </c>
      <c r="AG20" s="5">
        <v>18</v>
      </c>
      <c r="AH20" s="5">
        <v>0.39800000000000002</v>
      </c>
      <c r="AI20" s="5"/>
      <c r="AJ20" s="5"/>
      <c r="AK20" s="5">
        <v>10</v>
      </c>
      <c r="AL20" s="5">
        <v>1.0549999999999999</v>
      </c>
      <c r="AM20" s="5">
        <v>2.39</v>
      </c>
      <c r="AN20" s="5">
        <v>0.33100000000000002</v>
      </c>
      <c r="AO20" s="5">
        <v>1.5509999999999999</v>
      </c>
      <c r="AP20" s="5"/>
      <c r="AQ20" s="5">
        <v>0.183</v>
      </c>
      <c r="AR20" s="5">
        <v>0.76</v>
      </c>
      <c r="AS20" s="5">
        <v>0.158</v>
      </c>
      <c r="AT20" s="5">
        <v>1.274</v>
      </c>
      <c r="AU20" s="5">
        <v>0.32700000000000001</v>
      </c>
      <c r="AV20" s="5">
        <v>1.1850000000000001</v>
      </c>
      <c r="AW20" s="5">
        <v>0.17899999999999999</v>
      </c>
      <c r="AX20" s="5">
        <v>1.2370000000000001</v>
      </c>
      <c r="AY20" s="5">
        <v>0.193</v>
      </c>
      <c r="AZ20" s="5">
        <v>0.57999999999999996</v>
      </c>
      <c r="BA20" s="5"/>
      <c r="BB20" s="5"/>
      <c r="BC20" s="5">
        <v>1.0900000000000001</v>
      </c>
      <c r="BD20" s="5">
        <v>0.221</v>
      </c>
      <c r="BE20" s="5"/>
      <c r="BF20" s="5">
        <v>3.121</v>
      </c>
      <c r="BG20" s="5">
        <v>10.823</v>
      </c>
      <c r="BH20" s="5">
        <v>0.36349447963680598</v>
      </c>
      <c r="BI20" s="5">
        <f t="shared" si="1"/>
        <v>62.363061538461537</v>
      </c>
      <c r="BJ20" s="5">
        <v>92</v>
      </c>
      <c r="BK20" s="5">
        <f t="shared" si="2"/>
        <v>0.61176318096388094</v>
      </c>
      <c r="BL20" s="5">
        <v>0.50825421365166101</v>
      </c>
      <c r="BM20" s="98">
        <v>1236.691</v>
      </c>
      <c r="BN20" s="5">
        <v>1.1440335399999999</v>
      </c>
      <c r="BO20" s="6"/>
      <c r="BP20" s="6"/>
      <c r="BQ20" s="6"/>
      <c r="BR20" s="6"/>
      <c r="BS20" s="2" t="s">
        <v>317</v>
      </c>
      <c r="BT20" s="52" t="s">
        <v>377</v>
      </c>
    </row>
    <row r="21" spans="1:72">
      <c r="A21" s="2">
        <v>242744</v>
      </c>
      <c r="B21" s="2" t="s">
        <v>368</v>
      </c>
      <c r="C21" s="2" t="s">
        <v>375</v>
      </c>
      <c r="D21" s="2" t="s">
        <v>422</v>
      </c>
      <c r="E21" s="2">
        <v>3700</v>
      </c>
      <c r="F21" s="5">
        <v>51.3</v>
      </c>
      <c r="G21" s="5">
        <v>0.4</v>
      </c>
      <c r="H21" s="5">
        <v>18.27</v>
      </c>
      <c r="I21" s="5">
        <v>11.83</v>
      </c>
      <c r="J21" s="5">
        <v>0.17</v>
      </c>
      <c r="K21" s="5">
        <v>8.25</v>
      </c>
      <c r="L21" s="5">
        <v>7.56</v>
      </c>
      <c r="M21" s="5">
        <v>0.15</v>
      </c>
      <c r="N21" s="5">
        <v>1.85</v>
      </c>
      <c r="O21" s="5">
        <v>0.21</v>
      </c>
      <c r="P21" s="5">
        <v>2.48</v>
      </c>
      <c r="Q21" s="5">
        <v>102.47</v>
      </c>
      <c r="R21" s="5">
        <f t="shared" si="0"/>
        <v>58.00856053618881</v>
      </c>
      <c r="S21" s="5">
        <v>2236</v>
      </c>
      <c r="T21" s="5"/>
      <c r="U21" s="5"/>
      <c r="V21" s="5"/>
      <c r="W21" s="5">
        <v>239</v>
      </c>
      <c r="X21" s="5">
        <v>57</v>
      </c>
      <c r="Y21" s="5">
        <v>47</v>
      </c>
      <c r="Z21" s="5">
        <v>61</v>
      </c>
      <c r="AA21" s="5"/>
      <c r="AB21" s="5"/>
      <c r="AC21" s="5">
        <v>14</v>
      </c>
      <c r="AD21" s="5">
        <v>3.4</v>
      </c>
      <c r="AE21" s="5">
        <v>86</v>
      </c>
      <c r="AF21" s="5">
        <v>12.9</v>
      </c>
      <c r="AG21" s="5">
        <v>23.3</v>
      </c>
      <c r="AH21" s="5">
        <v>0.55900000000000005</v>
      </c>
      <c r="AI21" s="5"/>
      <c r="AJ21" s="5"/>
      <c r="AK21" s="5">
        <v>23</v>
      </c>
      <c r="AL21" s="5">
        <v>1.149</v>
      </c>
      <c r="AM21" s="5">
        <v>2.8780000000000001</v>
      </c>
      <c r="AN21" s="5">
        <v>0.42699999999999999</v>
      </c>
      <c r="AO21" s="5">
        <v>2.113</v>
      </c>
      <c r="AP21" s="5"/>
      <c r="AQ21" s="5">
        <v>0.26400000000000001</v>
      </c>
      <c r="AR21" s="5">
        <v>1.2210000000000001</v>
      </c>
      <c r="AS21" s="5">
        <v>0.26400000000000001</v>
      </c>
      <c r="AT21" s="5">
        <v>2.12</v>
      </c>
      <c r="AU21" s="5">
        <v>0.52700000000000002</v>
      </c>
      <c r="AV21" s="5">
        <v>1.8919999999999999</v>
      </c>
      <c r="AW21" s="5">
        <v>0.27900000000000003</v>
      </c>
      <c r="AX21" s="5">
        <v>1.84</v>
      </c>
      <c r="AY21" s="5">
        <v>0.28799999999999998</v>
      </c>
      <c r="AZ21" s="5">
        <v>0.876</v>
      </c>
      <c r="BA21" s="5"/>
      <c r="BB21" s="5"/>
      <c r="BC21" s="5">
        <v>1.25</v>
      </c>
      <c r="BD21" s="5">
        <v>0.218</v>
      </c>
      <c r="BE21" s="5"/>
      <c r="BF21" s="5">
        <v>4.8259999999999996</v>
      </c>
      <c r="BG21" s="5">
        <v>15.262</v>
      </c>
      <c r="BH21" s="5">
        <v>0.46876911077014399</v>
      </c>
      <c r="BI21" s="5">
        <f t="shared" si="1"/>
        <v>62.615494117647053</v>
      </c>
      <c r="BJ21" s="5">
        <v>45.674999999999997</v>
      </c>
      <c r="BK21" s="5">
        <f t="shared" si="2"/>
        <v>0.44792239955971386</v>
      </c>
      <c r="BL21" s="5">
        <v>0.54895271342430985</v>
      </c>
      <c r="BM21" s="98">
        <v>1325.586</v>
      </c>
      <c r="BN21" s="5">
        <v>1.37606995</v>
      </c>
      <c r="BO21" s="6"/>
      <c r="BP21" s="6"/>
      <c r="BQ21" s="6"/>
      <c r="BR21" s="6"/>
      <c r="BS21" s="2" t="s">
        <v>317</v>
      </c>
      <c r="BT21" s="52" t="s">
        <v>377</v>
      </c>
    </row>
    <row r="22" spans="1:72">
      <c r="A22" s="2">
        <v>462902</v>
      </c>
      <c r="B22" s="2" t="s">
        <v>368</v>
      </c>
      <c r="C22" s="2" t="s">
        <v>375</v>
      </c>
      <c r="D22" s="2" t="s">
        <v>422</v>
      </c>
      <c r="E22" s="2">
        <v>3700</v>
      </c>
      <c r="F22" s="5">
        <v>48.23</v>
      </c>
      <c r="G22" s="5">
        <v>0.23</v>
      </c>
      <c r="H22" s="5">
        <v>17.48</v>
      </c>
      <c r="I22" s="5">
        <v>9.14</v>
      </c>
      <c r="J22" s="5">
        <v>0.21</v>
      </c>
      <c r="K22" s="5">
        <v>10.74</v>
      </c>
      <c r="L22" s="5">
        <v>12.6</v>
      </c>
      <c r="M22" s="5">
        <v>1.1599999999999999</v>
      </c>
      <c r="N22" s="5">
        <v>0.2</v>
      </c>
      <c r="O22" s="5">
        <v>0.01</v>
      </c>
      <c r="P22" s="5">
        <v>1.76</v>
      </c>
      <c r="Q22" s="5">
        <v>101.76</v>
      </c>
      <c r="R22" s="5">
        <f t="shared" si="0"/>
        <v>69.94888511009259</v>
      </c>
      <c r="S22" s="5">
        <v>1285.7</v>
      </c>
      <c r="T22" s="5"/>
      <c r="U22" s="5"/>
      <c r="V22" s="5"/>
      <c r="W22" s="5">
        <v>177</v>
      </c>
      <c r="X22" s="5">
        <v>963</v>
      </c>
      <c r="Y22" s="5">
        <v>50</v>
      </c>
      <c r="Z22" s="5">
        <v>297</v>
      </c>
      <c r="AA22" s="5"/>
      <c r="AB22" s="5"/>
      <c r="AC22" s="5">
        <v>12.2</v>
      </c>
      <c r="AD22" s="5">
        <v>9.16</v>
      </c>
      <c r="AE22" s="5">
        <v>94</v>
      </c>
      <c r="AF22" s="5">
        <v>10.4</v>
      </c>
      <c r="AG22" s="5">
        <v>14.4</v>
      </c>
      <c r="AH22" s="5">
        <v>0.32700000000000001</v>
      </c>
      <c r="AI22" s="5"/>
      <c r="AJ22" s="5"/>
      <c r="AK22" s="5">
        <v>12.8</v>
      </c>
      <c r="AL22" s="5">
        <v>0.67400000000000004</v>
      </c>
      <c r="AM22" s="5">
        <v>1.635</v>
      </c>
      <c r="AN22" s="5">
        <v>0.23100000000000001</v>
      </c>
      <c r="AO22" s="5">
        <v>1.1100000000000001</v>
      </c>
      <c r="AP22" s="5"/>
      <c r="AQ22" s="5">
        <v>0.185</v>
      </c>
      <c r="AR22" s="5">
        <v>0.754</v>
      </c>
      <c r="AS22" s="5">
        <v>0.16700000000000001</v>
      </c>
      <c r="AT22" s="5">
        <v>1.45</v>
      </c>
      <c r="AU22" s="5">
        <v>0.39700000000000002</v>
      </c>
      <c r="AV22" s="5">
        <v>1.482</v>
      </c>
      <c r="AW22" s="5">
        <v>0.224</v>
      </c>
      <c r="AX22" s="5">
        <v>1.575</v>
      </c>
      <c r="AY22" s="5">
        <v>0.24399999999999999</v>
      </c>
      <c r="AZ22" s="5">
        <v>0.54200000000000004</v>
      </c>
      <c r="BA22" s="5"/>
      <c r="BB22" s="5"/>
      <c r="BC22" s="5"/>
      <c r="BD22" s="5">
        <v>9.8000000000000004E-2</v>
      </c>
      <c r="BE22" s="5"/>
      <c r="BF22" s="5">
        <v>3.9220000000000002</v>
      </c>
      <c r="BG22" s="5">
        <v>10.128</v>
      </c>
      <c r="BH22" s="5">
        <v>0.46747141888039401</v>
      </c>
      <c r="BI22" s="5">
        <f t="shared" si="1"/>
        <v>39.162723809523818</v>
      </c>
      <c r="BJ22" s="5">
        <v>76</v>
      </c>
      <c r="BK22" s="5">
        <f t="shared" si="2"/>
        <v>0.30695867657892983</v>
      </c>
      <c r="BL22" s="5">
        <v>0.39602981500791729</v>
      </c>
      <c r="BM22" s="98">
        <v>1256.4100000000001</v>
      </c>
      <c r="BN22" s="5">
        <v>1.2117154699999999</v>
      </c>
      <c r="BO22" s="6"/>
      <c r="BP22" s="6"/>
      <c r="BQ22" s="6"/>
      <c r="BR22" s="6"/>
      <c r="BS22" s="2" t="s">
        <v>317</v>
      </c>
      <c r="BT22" s="52" t="s">
        <v>377</v>
      </c>
    </row>
    <row r="23" spans="1:72">
      <c r="A23" s="2">
        <v>462903</v>
      </c>
      <c r="B23" s="2" t="s">
        <v>368</v>
      </c>
      <c r="C23" s="2" t="s">
        <v>375</v>
      </c>
      <c r="D23" s="2" t="s">
        <v>422</v>
      </c>
      <c r="E23" s="2">
        <v>3700</v>
      </c>
      <c r="F23" s="5">
        <v>51.21</v>
      </c>
      <c r="G23" s="5">
        <v>0.33</v>
      </c>
      <c r="H23" s="5">
        <v>20.170000000000002</v>
      </c>
      <c r="I23" s="5">
        <v>10.96</v>
      </c>
      <c r="J23" s="5">
        <v>0.14000000000000001</v>
      </c>
      <c r="K23" s="5">
        <v>8.4700000000000006</v>
      </c>
      <c r="L23" s="5">
        <v>5.81</v>
      </c>
      <c r="M23" s="5">
        <v>1.93</v>
      </c>
      <c r="N23" s="5">
        <v>0.96</v>
      </c>
      <c r="O23" s="5">
        <v>0.02</v>
      </c>
      <c r="P23" s="5">
        <v>3.34</v>
      </c>
      <c r="Q23" s="5">
        <v>103.34</v>
      </c>
      <c r="R23" s="5">
        <f t="shared" si="0"/>
        <v>60.487711996248009</v>
      </c>
      <c r="S23" s="5">
        <v>1844.7</v>
      </c>
      <c r="T23" s="5"/>
      <c r="U23" s="5"/>
      <c r="V23" s="5"/>
      <c r="W23" s="5">
        <v>195</v>
      </c>
      <c r="X23" s="5">
        <v>85</v>
      </c>
      <c r="Y23" s="5">
        <v>50</v>
      </c>
      <c r="Z23" s="5">
        <v>101</v>
      </c>
      <c r="AA23" s="5"/>
      <c r="AB23" s="5"/>
      <c r="AC23" s="5">
        <v>13.4</v>
      </c>
      <c r="AD23" s="5">
        <v>44.4</v>
      </c>
      <c r="AE23" s="5">
        <v>89</v>
      </c>
      <c r="AF23" s="5">
        <v>10.7</v>
      </c>
      <c r="AG23" s="5">
        <v>24.8</v>
      </c>
      <c r="AH23" s="5">
        <v>0.624</v>
      </c>
      <c r="AI23" s="5"/>
      <c r="AJ23" s="5"/>
      <c r="AK23" s="5">
        <v>147</v>
      </c>
      <c r="AL23" s="5">
        <v>1.385</v>
      </c>
      <c r="AM23" s="5">
        <v>3.411</v>
      </c>
      <c r="AN23" s="5">
        <v>0.47899999999999998</v>
      </c>
      <c r="AO23" s="5">
        <v>2.2719999999999998</v>
      </c>
      <c r="AP23" s="5"/>
      <c r="AQ23" s="5">
        <v>0.215</v>
      </c>
      <c r="AR23" s="5">
        <v>1.036</v>
      </c>
      <c r="AS23" s="5">
        <v>0.19600000000000001</v>
      </c>
      <c r="AT23" s="5">
        <v>1.619</v>
      </c>
      <c r="AU23" s="5">
        <v>0.41599999999999998</v>
      </c>
      <c r="AV23" s="5">
        <v>1.4630000000000001</v>
      </c>
      <c r="AW23" s="5">
        <v>0.214</v>
      </c>
      <c r="AX23" s="5">
        <v>1.4410000000000001</v>
      </c>
      <c r="AY23" s="5">
        <v>0.222</v>
      </c>
      <c r="AZ23" s="5">
        <v>0.82599999999999996</v>
      </c>
      <c r="BA23" s="5"/>
      <c r="BB23" s="5"/>
      <c r="BC23" s="5"/>
      <c r="BD23" s="5">
        <v>0.26500000000000001</v>
      </c>
      <c r="BE23" s="5"/>
      <c r="BF23" s="5">
        <v>3.7559999999999998</v>
      </c>
      <c r="BG23" s="5">
        <v>14.369</v>
      </c>
      <c r="BH23" s="5">
        <v>0.43411223234312701</v>
      </c>
      <c r="BI23" s="5">
        <f t="shared" si="1"/>
        <v>70.441485714285719</v>
      </c>
      <c r="BJ23" s="5">
        <v>61.121212121212103</v>
      </c>
      <c r="BK23" s="5">
        <f t="shared" si="2"/>
        <v>0.68942395254116196</v>
      </c>
      <c r="BL23" s="5">
        <v>0.59474783495511196</v>
      </c>
      <c r="BM23" s="98">
        <v>1294.2</v>
      </c>
      <c r="BN23" s="5">
        <v>1.31719265</v>
      </c>
      <c r="BO23" s="6"/>
      <c r="BP23" s="6"/>
      <c r="BQ23" s="6"/>
      <c r="BR23" s="6"/>
      <c r="BS23" s="2" t="s">
        <v>317</v>
      </c>
      <c r="BT23" s="52" t="s">
        <v>377</v>
      </c>
    </row>
    <row r="24" spans="1:72">
      <c r="A24" s="2">
        <v>462904</v>
      </c>
      <c r="B24" s="2" t="s">
        <v>368</v>
      </c>
      <c r="C24" s="2" t="s">
        <v>374</v>
      </c>
      <c r="D24" s="2" t="s">
        <v>430</v>
      </c>
      <c r="E24" s="2">
        <v>3700</v>
      </c>
      <c r="F24" s="5">
        <v>48.62</v>
      </c>
      <c r="G24" s="5">
        <v>0.2</v>
      </c>
      <c r="H24" s="5">
        <v>14.09</v>
      </c>
      <c r="I24" s="5">
        <v>10.68</v>
      </c>
      <c r="J24" s="5">
        <v>0.24</v>
      </c>
      <c r="K24" s="5">
        <v>12.46</v>
      </c>
      <c r="L24" s="5">
        <v>12.82</v>
      </c>
      <c r="M24" s="5">
        <v>0.76</v>
      </c>
      <c r="N24" s="5">
        <v>0.11</v>
      </c>
      <c r="O24" s="5">
        <v>0.01</v>
      </c>
      <c r="P24" s="5">
        <v>1.7</v>
      </c>
      <c r="Q24" s="5">
        <v>101.69</v>
      </c>
      <c r="R24" s="5">
        <f t="shared" si="0"/>
        <v>69.798079444562376</v>
      </c>
      <c r="S24" s="5">
        <v>1118</v>
      </c>
      <c r="T24" s="5"/>
      <c r="U24" s="5"/>
      <c r="V24" s="5"/>
      <c r="W24" s="5">
        <v>161</v>
      </c>
      <c r="X24" s="5">
        <v>1922</v>
      </c>
      <c r="Y24" s="5">
        <v>68</v>
      </c>
      <c r="Z24" s="5">
        <v>560</v>
      </c>
      <c r="AA24" s="5"/>
      <c r="AB24" s="5"/>
      <c r="AC24" s="5"/>
      <c r="AD24" s="5">
        <v>1.9</v>
      </c>
      <c r="AE24" s="5">
        <v>40</v>
      </c>
      <c r="AF24" s="5">
        <v>9</v>
      </c>
      <c r="AG24" s="5">
        <v>16.5</v>
      </c>
      <c r="AH24" s="5">
        <v>0.24299999999999999</v>
      </c>
      <c r="AI24" s="5"/>
      <c r="AJ24" s="5"/>
      <c r="AK24" s="5">
        <v>6</v>
      </c>
      <c r="AL24" s="5">
        <v>1.032</v>
      </c>
      <c r="AM24" s="5">
        <v>2.476</v>
      </c>
      <c r="AN24" s="5">
        <v>0.34899999999999998</v>
      </c>
      <c r="AO24" s="5">
        <v>1.6639999999999999</v>
      </c>
      <c r="AP24" s="5"/>
      <c r="AQ24" s="5">
        <v>0.19600000000000001</v>
      </c>
      <c r="AR24" s="5">
        <v>0.879</v>
      </c>
      <c r="AS24" s="5">
        <v>0.17699999999999999</v>
      </c>
      <c r="AT24" s="5">
        <v>1.3580000000000001</v>
      </c>
      <c r="AU24" s="5">
        <v>0.34899999999999998</v>
      </c>
      <c r="AV24" s="5">
        <v>1.3029999999999999</v>
      </c>
      <c r="AW24" s="5">
        <v>0.20599999999999999</v>
      </c>
      <c r="AX24" s="5">
        <v>1.4470000000000001</v>
      </c>
      <c r="AY24" s="5">
        <v>0.217</v>
      </c>
      <c r="AZ24" s="5"/>
      <c r="BA24" s="5"/>
      <c r="BB24" s="5"/>
      <c r="BC24" s="5">
        <v>2.2999999999999998</v>
      </c>
      <c r="BD24" s="5">
        <v>0.13500000000000001</v>
      </c>
      <c r="BE24" s="5"/>
      <c r="BF24" s="5">
        <v>3.5219999999999998</v>
      </c>
      <c r="BG24" s="5">
        <v>11.653</v>
      </c>
      <c r="BH24" s="5">
        <v>0.22687873055220301</v>
      </c>
      <c r="BI24" s="5">
        <f t="shared" si="1"/>
        <v>40.0411</v>
      </c>
      <c r="BJ24" s="5">
        <v>70.45</v>
      </c>
      <c r="BK24" s="5">
        <f t="shared" si="2"/>
        <v>0.51157786078573741</v>
      </c>
      <c r="BL24" s="5">
        <v>0.50252473024984989</v>
      </c>
      <c r="BM24" s="98">
        <v>1306.473</v>
      </c>
      <c r="BN24" s="5">
        <v>1.3639656600000001</v>
      </c>
      <c r="BO24" s="6"/>
      <c r="BP24" s="6"/>
      <c r="BQ24" s="6"/>
      <c r="BR24" s="6"/>
      <c r="BS24" s="2" t="s">
        <v>376</v>
      </c>
      <c r="BT24" s="52" t="s">
        <v>420</v>
      </c>
    </row>
    <row r="25" spans="1:72">
      <c r="A25" s="2">
        <v>462905</v>
      </c>
      <c r="B25" s="2" t="s">
        <v>368</v>
      </c>
      <c r="C25" s="2" t="s">
        <v>375</v>
      </c>
      <c r="D25" s="2" t="s">
        <v>422</v>
      </c>
      <c r="E25" s="2">
        <v>3700</v>
      </c>
      <c r="F25" s="5">
        <v>49.39</v>
      </c>
      <c r="G25" s="5">
        <v>0.24</v>
      </c>
      <c r="H25" s="5">
        <v>16.899999999999999</v>
      </c>
      <c r="I25" s="5">
        <v>10.4</v>
      </c>
      <c r="J25" s="5">
        <v>0.16</v>
      </c>
      <c r="K25" s="5">
        <v>15.96</v>
      </c>
      <c r="L25" s="5">
        <v>5.23</v>
      </c>
      <c r="M25" s="5">
        <v>1.62</v>
      </c>
      <c r="N25" s="5">
        <v>7.0000000000000007E-2</v>
      </c>
      <c r="O25" s="5">
        <v>0.01</v>
      </c>
      <c r="P25" s="5">
        <v>5.7</v>
      </c>
      <c r="Q25" s="5">
        <v>105.68</v>
      </c>
      <c r="R25" s="5">
        <f t="shared" si="0"/>
        <v>75.247013810572554</v>
      </c>
      <c r="S25" s="5">
        <v>1341.6</v>
      </c>
      <c r="T25" s="5"/>
      <c r="U25" s="5"/>
      <c r="V25" s="5"/>
      <c r="W25" s="5">
        <v>208</v>
      </c>
      <c r="X25" s="5">
        <v>1114</v>
      </c>
      <c r="Y25" s="5">
        <v>72</v>
      </c>
      <c r="Z25" s="5">
        <v>412</v>
      </c>
      <c r="AA25" s="5"/>
      <c r="AB25" s="5"/>
      <c r="AC25" s="5">
        <v>13</v>
      </c>
      <c r="AD25" s="5">
        <v>2.7</v>
      </c>
      <c r="AE25" s="5">
        <v>68</v>
      </c>
      <c r="AF25" s="5">
        <v>9.1999999999999993</v>
      </c>
      <c r="AG25" s="5">
        <v>15.9</v>
      </c>
      <c r="AH25" s="5">
        <v>0.219</v>
      </c>
      <c r="AI25" s="5"/>
      <c r="AJ25" s="5"/>
      <c r="AK25" s="5">
        <v>8</v>
      </c>
      <c r="AL25" s="5">
        <v>0.47099999999999997</v>
      </c>
      <c r="AM25" s="5">
        <v>1.274</v>
      </c>
      <c r="AN25" s="5">
        <v>0.19700000000000001</v>
      </c>
      <c r="AO25" s="5">
        <v>1.02</v>
      </c>
      <c r="AP25" s="5"/>
      <c r="AQ25" s="5">
        <v>0.189</v>
      </c>
      <c r="AR25" s="5">
        <v>0.74399999999999999</v>
      </c>
      <c r="AS25" s="5">
        <v>0.158</v>
      </c>
      <c r="AT25" s="5">
        <v>1.363</v>
      </c>
      <c r="AU25" s="5">
        <v>0.39600000000000002</v>
      </c>
      <c r="AV25" s="5">
        <v>1.464</v>
      </c>
      <c r="AW25" s="5">
        <v>0.221</v>
      </c>
      <c r="AX25" s="5">
        <v>1.47</v>
      </c>
      <c r="AY25" s="5">
        <v>0.224</v>
      </c>
      <c r="AZ25" s="5">
        <v>0.52900000000000003</v>
      </c>
      <c r="BA25" s="5"/>
      <c r="BB25" s="5"/>
      <c r="BC25" s="5">
        <v>2.8</v>
      </c>
      <c r="BD25" s="5">
        <v>5.5E-2</v>
      </c>
      <c r="BE25" s="5"/>
      <c r="BF25" s="5">
        <v>3.7749999999999999</v>
      </c>
      <c r="BG25" s="5">
        <v>9.1910000000000007</v>
      </c>
      <c r="BH25" s="5">
        <v>0.448012792453167</v>
      </c>
      <c r="BI25" s="5">
        <f t="shared" si="1"/>
        <v>58.487000000000002</v>
      </c>
      <c r="BJ25" s="5">
        <v>70.4166666666667</v>
      </c>
      <c r="BK25" s="5">
        <f t="shared" si="2"/>
        <v>0.22982864031688627</v>
      </c>
      <c r="BL25" s="5">
        <v>0.41869010377873778</v>
      </c>
      <c r="BM25" s="98">
        <v>1267.019</v>
      </c>
      <c r="BN25" s="5">
        <v>1.17475957</v>
      </c>
      <c r="BO25" s="6"/>
      <c r="BP25" s="6"/>
      <c r="BQ25" s="6"/>
      <c r="BR25" s="6"/>
      <c r="BS25" s="2" t="s">
        <v>317</v>
      </c>
      <c r="BT25" s="52" t="s">
        <v>377</v>
      </c>
    </row>
    <row r="26" spans="1:72">
      <c r="A26" s="2">
        <v>462944</v>
      </c>
      <c r="B26" s="2" t="s">
        <v>368</v>
      </c>
      <c r="C26" s="2" t="s">
        <v>375</v>
      </c>
      <c r="D26" s="2" t="s">
        <v>422</v>
      </c>
      <c r="E26" s="2">
        <v>3700</v>
      </c>
      <c r="F26" s="5">
        <v>50.93</v>
      </c>
      <c r="G26" s="5">
        <v>0.3</v>
      </c>
      <c r="H26" s="5">
        <v>16.64</v>
      </c>
      <c r="I26" s="5">
        <v>11.5</v>
      </c>
      <c r="J26" s="5">
        <v>0.18</v>
      </c>
      <c r="K26" s="5">
        <v>12.61</v>
      </c>
      <c r="L26" s="5">
        <v>5.86</v>
      </c>
      <c r="M26" s="5">
        <v>1.91</v>
      </c>
      <c r="N26" s="5">
        <v>0.06</v>
      </c>
      <c r="O26" s="5">
        <v>0.01</v>
      </c>
      <c r="P26" s="5">
        <v>4.1399999999999997</v>
      </c>
      <c r="Q26" s="5">
        <v>104.14</v>
      </c>
      <c r="R26" s="5">
        <f t="shared" si="0"/>
        <v>68.475120428895863</v>
      </c>
      <c r="S26" s="5">
        <v>1677</v>
      </c>
      <c r="T26" s="5"/>
      <c r="U26" s="5"/>
      <c r="V26" s="5"/>
      <c r="W26" s="5">
        <v>189</v>
      </c>
      <c r="X26" s="5">
        <v>519</v>
      </c>
      <c r="Y26" s="5">
        <v>62</v>
      </c>
      <c r="Z26" s="5">
        <v>214</v>
      </c>
      <c r="AA26" s="5"/>
      <c r="AB26" s="5"/>
      <c r="AC26" s="5">
        <v>13.5</v>
      </c>
      <c r="AD26" s="5">
        <v>3.1</v>
      </c>
      <c r="AE26" s="5">
        <v>58</v>
      </c>
      <c r="AF26" s="5">
        <v>9.6</v>
      </c>
      <c r="AG26" s="5">
        <v>21.4</v>
      </c>
      <c r="AH26" s="5">
        <v>0.54</v>
      </c>
      <c r="AI26" s="5"/>
      <c r="AJ26" s="5"/>
      <c r="AK26" s="5">
        <v>9</v>
      </c>
      <c r="AL26" s="5">
        <v>1.2589999999999999</v>
      </c>
      <c r="AM26" s="5">
        <v>2.964</v>
      </c>
      <c r="AN26" s="5">
        <v>0.39600000000000002</v>
      </c>
      <c r="AO26" s="5">
        <v>1.8420000000000001</v>
      </c>
      <c r="AP26" s="5"/>
      <c r="AQ26" s="5">
        <v>0.18</v>
      </c>
      <c r="AR26" s="5">
        <v>0.95</v>
      </c>
      <c r="AS26" s="5">
        <v>0.19</v>
      </c>
      <c r="AT26" s="5">
        <v>1.5069999999999999</v>
      </c>
      <c r="AU26" s="5">
        <v>0.376</v>
      </c>
      <c r="AV26" s="5">
        <v>1.323</v>
      </c>
      <c r="AW26" s="5">
        <v>0.19600000000000001</v>
      </c>
      <c r="AX26" s="5">
        <v>1.369</v>
      </c>
      <c r="AY26" s="5">
        <v>0.21199999999999999</v>
      </c>
      <c r="AZ26" s="5">
        <v>0.73799999999999999</v>
      </c>
      <c r="BA26" s="5"/>
      <c r="BB26" s="5"/>
      <c r="BC26" s="5"/>
      <c r="BD26" s="5">
        <v>0.28899999999999998</v>
      </c>
      <c r="BE26" s="5"/>
      <c r="BF26" s="5">
        <v>3.476</v>
      </c>
      <c r="BG26" s="5">
        <v>12.763999999999999</v>
      </c>
      <c r="BH26" s="5">
        <v>0.41327129102440002</v>
      </c>
      <c r="BI26" s="5">
        <f t="shared" si="1"/>
        <v>57.487222222222222</v>
      </c>
      <c r="BJ26" s="5">
        <v>55.466666666666697</v>
      </c>
      <c r="BK26" s="5">
        <f t="shared" si="2"/>
        <v>0.65966411159705729</v>
      </c>
      <c r="BL26" s="5">
        <v>0.57405995460838632</v>
      </c>
      <c r="BM26" s="98">
        <v>1306.566</v>
      </c>
      <c r="BN26" s="5">
        <v>1.3045891999999999</v>
      </c>
      <c r="BO26" s="6"/>
      <c r="BP26" s="6"/>
      <c r="BQ26" s="6"/>
      <c r="BR26" s="6"/>
      <c r="BS26" s="2" t="s">
        <v>317</v>
      </c>
      <c r="BT26" s="52" t="s">
        <v>377</v>
      </c>
    </row>
    <row r="27" spans="1:72">
      <c r="A27" s="2">
        <v>462945</v>
      </c>
      <c r="B27" s="2" t="s">
        <v>368</v>
      </c>
      <c r="C27" s="2" t="s">
        <v>375</v>
      </c>
      <c r="D27" s="2" t="s">
        <v>422</v>
      </c>
      <c r="E27" s="2">
        <v>3700</v>
      </c>
      <c r="F27" s="5">
        <v>50.4</v>
      </c>
      <c r="G27" s="5">
        <v>0.33</v>
      </c>
      <c r="H27" s="5">
        <v>18.09</v>
      </c>
      <c r="I27" s="5">
        <v>11.26</v>
      </c>
      <c r="J27" s="5">
        <v>0.2</v>
      </c>
      <c r="K27" s="5">
        <v>9.1</v>
      </c>
      <c r="L27" s="5">
        <v>8.66</v>
      </c>
      <c r="M27" s="5">
        <v>1.84</v>
      </c>
      <c r="N27" s="5">
        <v>0.11</v>
      </c>
      <c r="O27" s="5">
        <v>0.02</v>
      </c>
      <c r="P27" s="5">
        <v>2.62</v>
      </c>
      <c r="Q27" s="5">
        <v>102.63</v>
      </c>
      <c r="R27" s="5">
        <f t="shared" si="0"/>
        <v>61.551820646667885</v>
      </c>
      <c r="S27" s="5">
        <v>1844.7</v>
      </c>
      <c r="T27" s="5"/>
      <c r="U27" s="5"/>
      <c r="V27" s="5"/>
      <c r="W27" s="5">
        <v>220</v>
      </c>
      <c r="X27" s="5">
        <v>209</v>
      </c>
      <c r="Y27" s="5">
        <v>53</v>
      </c>
      <c r="Z27" s="5">
        <v>102</v>
      </c>
      <c r="AA27" s="5"/>
      <c r="AB27" s="5"/>
      <c r="AC27" s="5">
        <v>14</v>
      </c>
      <c r="AD27" s="5">
        <v>1.6</v>
      </c>
      <c r="AE27" s="5">
        <v>74</v>
      </c>
      <c r="AF27" s="5">
        <v>9.4</v>
      </c>
      <c r="AG27" s="5">
        <v>21.6</v>
      </c>
      <c r="AH27" s="5">
        <v>0.32900000000000001</v>
      </c>
      <c r="AI27" s="5"/>
      <c r="AJ27" s="5"/>
      <c r="AK27" s="5">
        <v>10</v>
      </c>
      <c r="AL27" s="5">
        <v>0.67200000000000004</v>
      </c>
      <c r="AM27" s="5">
        <v>1.83</v>
      </c>
      <c r="AN27" s="5">
        <v>0.27600000000000002</v>
      </c>
      <c r="AO27" s="5">
        <v>1.38</v>
      </c>
      <c r="AP27" s="5"/>
      <c r="AQ27" s="5">
        <v>0.23100000000000001</v>
      </c>
      <c r="AR27" s="5">
        <v>0.85599999999999998</v>
      </c>
      <c r="AS27" s="5">
        <v>0.17699999999999999</v>
      </c>
      <c r="AT27" s="5">
        <v>1.4419999999999999</v>
      </c>
      <c r="AU27" s="5">
        <v>0.36</v>
      </c>
      <c r="AV27" s="5">
        <v>1.274</v>
      </c>
      <c r="AW27" s="5">
        <v>0.19400000000000001</v>
      </c>
      <c r="AX27" s="5">
        <v>1.337</v>
      </c>
      <c r="AY27" s="5">
        <v>0.22</v>
      </c>
      <c r="AZ27" s="5">
        <v>0.79500000000000004</v>
      </c>
      <c r="BA27" s="5"/>
      <c r="BB27" s="5"/>
      <c r="BC27" s="5">
        <v>2.62</v>
      </c>
      <c r="BD27" s="5">
        <v>0.17</v>
      </c>
      <c r="BE27" s="5"/>
      <c r="BF27" s="5">
        <v>3.3849999999999998</v>
      </c>
      <c r="BG27" s="5">
        <v>10.249000000000001</v>
      </c>
      <c r="BH27" s="5">
        <v>0.47173036465638202</v>
      </c>
      <c r="BI27" s="5">
        <f t="shared" si="1"/>
        <v>50.658739999999995</v>
      </c>
      <c r="BJ27" s="5">
        <v>54.818181818181799</v>
      </c>
      <c r="BK27" s="5">
        <f t="shared" si="2"/>
        <v>0.360527536616078</v>
      </c>
      <c r="BL27" s="5">
        <v>0.52963838495233007</v>
      </c>
      <c r="BM27" s="98">
        <v>1306.473</v>
      </c>
      <c r="BN27" s="5">
        <v>1.3639656600000001</v>
      </c>
      <c r="BO27" s="6"/>
      <c r="BP27" s="6"/>
      <c r="BQ27" s="6"/>
      <c r="BR27" s="6"/>
      <c r="BS27" s="2" t="s">
        <v>317</v>
      </c>
      <c r="BT27" s="52" t="s">
        <v>377</v>
      </c>
    </row>
    <row r="28" spans="1:72">
      <c r="A28" s="2">
        <v>462946</v>
      </c>
      <c r="B28" s="2" t="s">
        <v>368</v>
      </c>
      <c r="C28" s="2" t="s">
        <v>375</v>
      </c>
      <c r="D28" s="2" t="s">
        <v>422</v>
      </c>
      <c r="E28" s="2">
        <v>3700</v>
      </c>
      <c r="F28" s="5">
        <v>51.57</v>
      </c>
      <c r="G28" s="5">
        <v>0.36</v>
      </c>
      <c r="H28" s="5">
        <v>18.34</v>
      </c>
      <c r="I28" s="5">
        <v>10.62</v>
      </c>
      <c r="J28" s="5">
        <v>0.17</v>
      </c>
      <c r="K28" s="5">
        <v>8.4600000000000009</v>
      </c>
      <c r="L28" s="5">
        <v>7.11</v>
      </c>
      <c r="M28" s="5">
        <v>3.24</v>
      </c>
      <c r="N28" s="5">
        <v>0.1</v>
      </c>
      <c r="O28" s="5">
        <v>0.02</v>
      </c>
      <c r="P28" s="5">
        <v>1.72</v>
      </c>
      <c r="Q28" s="5">
        <v>101.71</v>
      </c>
      <c r="R28" s="5">
        <f t="shared" si="0"/>
        <v>61.210293513220812</v>
      </c>
      <c r="S28" s="5">
        <v>2012.4</v>
      </c>
      <c r="T28" s="5"/>
      <c r="U28" s="5"/>
      <c r="V28" s="5"/>
      <c r="W28" s="5">
        <v>189</v>
      </c>
      <c r="X28" s="5">
        <v>204</v>
      </c>
      <c r="Y28" s="5">
        <v>49</v>
      </c>
      <c r="Z28" s="5">
        <v>96</v>
      </c>
      <c r="AA28" s="5"/>
      <c r="AB28" s="5"/>
      <c r="AC28" s="5">
        <v>15</v>
      </c>
      <c r="AD28" s="5">
        <v>1.2</v>
      </c>
      <c r="AE28" s="5">
        <v>118</v>
      </c>
      <c r="AF28" s="5">
        <v>10.8</v>
      </c>
      <c r="AG28" s="5">
        <v>23.4</v>
      </c>
      <c r="AH28" s="5">
        <v>0.58399999999999996</v>
      </c>
      <c r="AI28" s="5"/>
      <c r="AJ28" s="5"/>
      <c r="AK28" s="5">
        <v>17</v>
      </c>
      <c r="AL28" s="5">
        <v>1.0389999999999999</v>
      </c>
      <c r="AM28" s="5">
        <v>2.54</v>
      </c>
      <c r="AN28" s="5">
        <v>0.36699999999999999</v>
      </c>
      <c r="AO28" s="5">
        <v>1.857</v>
      </c>
      <c r="AP28" s="5"/>
      <c r="AQ28" s="5">
        <v>0.22</v>
      </c>
      <c r="AR28" s="5">
        <v>1.0569999999999999</v>
      </c>
      <c r="AS28" s="5">
        <v>0.20899999999999999</v>
      </c>
      <c r="AT28" s="5">
        <v>1.7210000000000001</v>
      </c>
      <c r="AU28" s="5">
        <v>0.46200000000000002</v>
      </c>
      <c r="AV28" s="5">
        <v>1.679</v>
      </c>
      <c r="AW28" s="5">
        <v>0.249</v>
      </c>
      <c r="AX28" s="5">
        <v>1.653</v>
      </c>
      <c r="AY28" s="5">
        <v>0.245</v>
      </c>
      <c r="AZ28" s="5">
        <v>0.91900000000000004</v>
      </c>
      <c r="BA28" s="5"/>
      <c r="BB28" s="5"/>
      <c r="BC28" s="5">
        <v>4.2</v>
      </c>
      <c r="BD28" s="5">
        <v>0.19700000000000001</v>
      </c>
      <c r="BE28" s="5"/>
      <c r="BF28" s="5">
        <v>4.2880000000000003</v>
      </c>
      <c r="BG28" s="5">
        <v>13.298</v>
      </c>
      <c r="BH28" s="5">
        <v>0.54158235545830402</v>
      </c>
      <c r="BI28" s="5">
        <f t="shared" si="1"/>
        <v>56.211035294117643</v>
      </c>
      <c r="BJ28" s="5">
        <v>50.9444444444444</v>
      </c>
      <c r="BK28" s="5">
        <f t="shared" si="2"/>
        <v>0.45086162226459503</v>
      </c>
      <c r="BL28" s="5">
        <v>0.52897997153299392</v>
      </c>
      <c r="BM28" s="98">
        <v>1311.4179999999999</v>
      </c>
      <c r="BN28" s="5">
        <v>1.51930739</v>
      </c>
      <c r="BO28" s="6"/>
      <c r="BP28" s="6"/>
      <c r="BQ28" s="6"/>
      <c r="BR28" s="6"/>
      <c r="BS28" s="2" t="s">
        <v>317</v>
      </c>
      <c r="BT28" s="52" t="s">
        <v>377</v>
      </c>
    </row>
    <row r="29" spans="1:72">
      <c r="A29" s="2">
        <v>462947</v>
      </c>
      <c r="B29" s="2" t="s">
        <v>368</v>
      </c>
      <c r="C29" s="2" t="s">
        <v>375</v>
      </c>
      <c r="D29" s="2" t="s">
        <v>422</v>
      </c>
      <c r="E29" s="2">
        <v>3700</v>
      </c>
      <c r="F29" s="5">
        <v>50.97</v>
      </c>
      <c r="G29" s="5">
        <v>0.36</v>
      </c>
      <c r="H29" s="5">
        <v>18.47</v>
      </c>
      <c r="I29" s="5">
        <v>10.71</v>
      </c>
      <c r="J29" s="5">
        <v>0.15</v>
      </c>
      <c r="K29" s="5">
        <v>8.42</v>
      </c>
      <c r="L29" s="5">
        <v>7.58</v>
      </c>
      <c r="M29" s="5">
        <v>3.18</v>
      </c>
      <c r="N29" s="5">
        <v>0.12</v>
      </c>
      <c r="O29" s="5">
        <v>0.02</v>
      </c>
      <c r="P29" s="5">
        <v>2.48</v>
      </c>
      <c r="Q29" s="5">
        <v>102.46</v>
      </c>
      <c r="R29" s="5">
        <f t="shared" si="0"/>
        <v>60.896940928145838</v>
      </c>
      <c r="S29" s="5">
        <v>2012.4</v>
      </c>
      <c r="T29" s="5"/>
      <c r="U29" s="5"/>
      <c r="V29" s="5"/>
      <c r="W29" s="5">
        <v>198</v>
      </c>
      <c r="X29" s="5">
        <v>189</v>
      </c>
      <c r="Y29" s="5">
        <v>43</v>
      </c>
      <c r="Z29" s="5">
        <v>96</v>
      </c>
      <c r="AA29" s="5"/>
      <c r="AB29" s="5"/>
      <c r="AC29" s="5">
        <v>15.4</v>
      </c>
      <c r="AD29" s="5">
        <v>3.1</v>
      </c>
      <c r="AE29" s="5">
        <v>118</v>
      </c>
      <c r="AF29" s="5">
        <v>11.2</v>
      </c>
      <c r="AG29" s="5">
        <v>22.2</v>
      </c>
      <c r="AH29" s="5"/>
      <c r="AI29" s="5"/>
      <c r="AJ29" s="5"/>
      <c r="AK29" s="5">
        <v>16</v>
      </c>
      <c r="AL29" s="5">
        <v>1.0269999999999999</v>
      </c>
      <c r="AM29" s="5">
        <v>2.6640000000000001</v>
      </c>
      <c r="AN29" s="5">
        <v>0.39800000000000002</v>
      </c>
      <c r="AO29" s="5">
        <v>1.988</v>
      </c>
      <c r="AP29" s="5"/>
      <c r="AQ29" s="5">
        <v>0.23699999999999999</v>
      </c>
      <c r="AR29" s="5">
        <v>1.131</v>
      </c>
      <c r="AS29" s="5">
        <v>0.22600000000000001</v>
      </c>
      <c r="AT29" s="5">
        <v>1.7729999999999999</v>
      </c>
      <c r="AU29" s="5">
        <v>0.44</v>
      </c>
      <c r="AV29" s="5">
        <v>1.546</v>
      </c>
      <c r="AW29" s="5">
        <v>0.22800000000000001</v>
      </c>
      <c r="AX29" s="5">
        <v>1.6</v>
      </c>
      <c r="AY29" s="5">
        <v>0.253</v>
      </c>
      <c r="AZ29" s="5">
        <v>0.75900000000000001</v>
      </c>
      <c r="BA29" s="5"/>
      <c r="BB29" s="5"/>
      <c r="BC29" s="5"/>
      <c r="BD29" s="5">
        <v>0.17799999999999999</v>
      </c>
      <c r="BE29" s="5"/>
      <c r="BF29" s="5">
        <v>4.0670000000000002</v>
      </c>
      <c r="BG29" s="5">
        <v>13.510999999999999</v>
      </c>
      <c r="BH29" s="5">
        <v>0</v>
      </c>
      <c r="BI29" s="5">
        <f t="shared" si="1"/>
        <v>64.24572000000002</v>
      </c>
      <c r="BJ29" s="5">
        <v>51.3055555555556</v>
      </c>
      <c r="BK29" s="5">
        <f t="shared" si="2"/>
        <v>0.46041666666666664</v>
      </c>
      <c r="BL29" s="5">
        <v>0.58476277372262775</v>
      </c>
      <c r="BM29" s="98">
        <v>1292.799</v>
      </c>
      <c r="BN29" s="5">
        <v>1.4017033000000001</v>
      </c>
      <c r="BO29" s="6"/>
      <c r="BP29" s="6"/>
      <c r="BQ29" s="6"/>
      <c r="BR29" s="6"/>
      <c r="BS29" s="2" t="s">
        <v>317</v>
      </c>
      <c r="BT29" s="52" t="s">
        <v>377</v>
      </c>
    </row>
    <row r="30" spans="1:72">
      <c r="A30" s="2">
        <v>462948</v>
      </c>
      <c r="B30" s="2" t="s">
        <v>368</v>
      </c>
      <c r="C30" s="2" t="s">
        <v>374</v>
      </c>
      <c r="D30" s="2" t="s">
        <v>430</v>
      </c>
      <c r="E30" s="2">
        <v>3700</v>
      </c>
      <c r="F30" s="5">
        <v>54</v>
      </c>
      <c r="G30" s="5">
        <v>0.4</v>
      </c>
      <c r="H30" s="5">
        <v>17.739999999999998</v>
      </c>
      <c r="I30" s="5">
        <v>9.3000000000000007</v>
      </c>
      <c r="J30" s="5">
        <v>0.13</v>
      </c>
      <c r="K30" s="5">
        <v>7.05</v>
      </c>
      <c r="L30" s="5">
        <v>8.39</v>
      </c>
      <c r="M30" s="5">
        <v>2.85</v>
      </c>
      <c r="N30" s="5">
        <v>0.12</v>
      </c>
      <c r="O30" s="5">
        <v>0.02</v>
      </c>
      <c r="P30" s="5">
        <v>1.76</v>
      </c>
      <c r="Q30" s="5">
        <v>101.76</v>
      </c>
      <c r="R30" s="5">
        <f t="shared" si="0"/>
        <v>60.026358848207892</v>
      </c>
      <c r="S30" s="5">
        <v>2236</v>
      </c>
      <c r="T30" s="5"/>
      <c r="U30" s="5"/>
      <c r="V30" s="5"/>
      <c r="W30" s="5">
        <v>195</v>
      </c>
      <c r="X30" s="5">
        <v>141</v>
      </c>
      <c r="Y30" s="5">
        <v>35</v>
      </c>
      <c r="Z30" s="5">
        <v>69</v>
      </c>
      <c r="AA30" s="5"/>
      <c r="AB30" s="5"/>
      <c r="AC30" s="5"/>
      <c r="AD30" s="5">
        <v>4.3</v>
      </c>
      <c r="AE30" s="5">
        <v>116</v>
      </c>
      <c r="AF30" s="5">
        <v>13</v>
      </c>
      <c r="AG30" s="5">
        <v>27.5</v>
      </c>
      <c r="AH30" s="5">
        <v>0.55200000000000005</v>
      </c>
      <c r="AI30" s="5"/>
      <c r="AJ30" s="5"/>
      <c r="AK30" s="5">
        <v>14</v>
      </c>
      <c r="AL30" s="5">
        <v>1.262</v>
      </c>
      <c r="AM30" s="5">
        <v>3.0840000000000001</v>
      </c>
      <c r="AN30" s="5">
        <v>0.45900000000000002</v>
      </c>
      <c r="AO30" s="5">
        <v>2.278</v>
      </c>
      <c r="AP30" s="5"/>
      <c r="AQ30" s="5">
        <v>0.28299999999999997</v>
      </c>
      <c r="AR30" s="5">
        <v>1.3180000000000001</v>
      </c>
      <c r="AS30" s="5">
        <v>0.26200000000000001</v>
      </c>
      <c r="AT30" s="5">
        <v>2.0390000000000001</v>
      </c>
      <c r="AU30" s="5">
        <v>0.53700000000000003</v>
      </c>
      <c r="AV30" s="5">
        <v>1.9139999999999999</v>
      </c>
      <c r="AW30" s="5">
        <v>0.28100000000000003</v>
      </c>
      <c r="AX30" s="5">
        <v>1.8320000000000001</v>
      </c>
      <c r="AY30" s="5">
        <v>0.27800000000000002</v>
      </c>
      <c r="AZ30" s="5"/>
      <c r="BA30" s="5"/>
      <c r="BB30" s="5"/>
      <c r="BC30" s="5">
        <v>3.91</v>
      </c>
      <c r="BD30" s="5">
        <v>0.22900000000000001</v>
      </c>
      <c r="BE30" s="5"/>
      <c r="BF30" s="5">
        <v>4.8419999999999996</v>
      </c>
      <c r="BG30" s="5">
        <v>15.827</v>
      </c>
      <c r="BH30" s="5">
        <v>0.42145084607126398</v>
      </c>
      <c r="BI30" s="5">
        <f t="shared" si="1"/>
        <v>64.370307692307691</v>
      </c>
      <c r="BJ30" s="5">
        <v>44.35</v>
      </c>
      <c r="BK30" s="5">
        <f t="shared" si="2"/>
        <v>0.49412230759309422</v>
      </c>
      <c r="BL30" s="5">
        <v>0.59515081970696682</v>
      </c>
      <c r="BM30" s="98">
        <v>1311.4179999999999</v>
      </c>
      <c r="BN30" s="5">
        <v>1.51930739</v>
      </c>
      <c r="BO30" s="6">
        <v>1.27</v>
      </c>
      <c r="BP30" s="6">
        <f>(BN30-1)*0.4+BO30</f>
        <v>1.477722956</v>
      </c>
      <c r="BQ30" s="6"/>
      <c r="BR30" s="6"/>
      <c r="BS30" s="2" t="s">
        <v>376</v>
      </c>
      <c r="BT30" s="52" t="s">
        <v>420</v>
      </c>
    </row>
    <row r="31" spans="1:72">
      <c r="A31" s="2">
        <v>462965</v>
      </c>
      <c r="B31" s="2" t="s">
        <v>368</v>
      </c>
      <c r="C31" s="2" t="s">
        <v>375</v>
      </c>
      <c r="D31" s="2" t="s">
        <v>422</v>
      </c>
      <c r="E31" s="2">
        <v>3700</v>
      </c>
      <c r="F31" s="5">
        <v>47.92</v>
      </c>
      <c r="G31" s="5">
        <v>0.23</v>
      </c>
      <c r="H31" s="5">
        <v>16</v>
      </c>
      <c r="I31" s="5">
        <v>10.8</v>
      </c>
      <c r="J31" s="5">
        <v>0.21</v>
      </c>
      <c r="K31" s="5">
        <v>13.56</v>
      </c>
      <c r="L31" s="5">
        <v>9.82</v>
      </c>
      <c r="M31" s="5">
        <v>1.33</v>
      </c>
      <c r="N31" s="5">
        <v>0.13</v>
      </c>
      <c r="O31" s="5">
        <v>0.01</v>
      </c>
      <c r="P31" s="5">
        <v>3.32</v>
      </c>
      <c r="Q31" s="5">
        <v>103.33</v>
      </c>
      <c r="R31" s="5">
        <f t="shared" si="0"/>
        <v>71.323102217620018</v>
      </c>
      <c r="S31" s="5">
        <v>1285.7</v>
      </c>
      <c r="T31" s="5"/>
      <c r="U31" s="5"/>
      <c r="V31" s="5"/>
      <c r="W31" s="5">
        <v>229</v>
      </c>
      <c r="X31" s="5">
        <v>1240</v>
      </c>
      <c r="Y31" s="5">
        <v>77</v>
      </c>
      <c r="Z31" s="5">
        <v>455</v>
      </c>
      <c r="AA31" s="5"/>
      <c r="AB31" s="5"/>
      <c r="AC31" s="5">
        <v>14</v>
      </c>
      <c r="AD31" s="5">
        <v>3.2</v>
      </c>
      <c r="AE31" s="5">
        <v>52</v>
      </c>
      <c r="AF31" s="5">
        <v>9.3000000000000007</v>
      </c>
      <c r="AG31" s="5">
        <v>14</v>
      </c>
      <c r="AH31" s="5">
        <v>0.13100000000000001</v>
      </c>
      <c r="AI31" s="5"/>
      <c r="AJ31" s="5"/>
      <c r="AK31" s="5">
        <v>14</v>
      </c>
      <c r="AL31" s="5">
        <v>0.307</v>
      </c>
      <c r="AM31" s="5">
        <v>0.85499999999999998</v>
      </c>
      <c r="AN31" s="5">
        <v>0.13800000000000001</v>
      </c>
      <c r="AO31" s="5">
        <v>0.76400000000000001</v>
      </c>
      <c r="AP31" s="5"/>
      <c r="AQ31" s="5">
        <v>0.191</v>
      </c>
      <c r="AR31" s="5">
        <v>0.60499999999999998</v>
      </c>
      <c r="AS31" s="5">
        <v>0.13800000000000001</v>
      </c>
      <c r="AT31" s="5">
        <v>1.2490000000000001</v>
      </c>
      <c r="AU31" s="5">
        <v>0.34499999999999997</v>
      </c>
      <c r="AV31" s="5">
        <v>1.294</v>
      </c>
      <c r="AW31" s="5">
        <v>0.19900000000000001</v>
      </c>
      <c r="AX31" s="5">
        <v>1.3740000000000001</v>
      </c>
      <c r="AY31" s="5">
        <v>0.21199999999999999</v>
      </c>
      <c r="AZ31" s="5">
        <v>0.50900000000000001</v>
      </c>
      <c r="BA31" s="5"/>
      <c r="BB31" s="5"/>
      <c r="BC31" s="5">
        <v>1.27</v>
      </c>
      <c r="BD31" s="5">
        <v>4.2999999999999997E-2</v>
      </c>
      <c r="BE31" s="5"/>
      <c r="BF31" s="5">
        <v>3.4239999999999999</v>
      </c>
      <c r="BG31" s="5">
        <v>7.6710000000000003</v>
      </c>
      <c r="BH31" s="5">
        <v>0.411149841702034</v>
      </c>
      <c r="BI31" s="5">
        <f t="shared" si="1"/>
        <v>46.275428571428577</v>
      </c>
      <c r="BJ31" s="5">
        <v>69.565217391304301</v>
      </c>
      <c r="BK31" s="5">
        <f t="shared" si="2"/>
        <v>0.16026999305977804</v>
      </c>
      <c r="BL31" s="5">
        <v>0.36425518049844702</v>
      </c>
      <c r="BM31" s="98">
        <v>1306.1110000000001</v>
      </c>
      <c r="BN31" s="5">
        <v>1.5466534000000001</v>
      </c>
      <c r="BO31" s="6"/>
      <c r="BP31" s="6"/>
      <c r="BQ31" s="6"/>
      <c r="BR31" s="6"/>
      <c r="BS31" s="2" t="s">
        <v>317</v>
      </c>
      <c r="BT31" s="52" t="s">
        <v>377</v>
      </c>
    </row>
    <row r="32" spans="1:72">
      <c r="A32" s="2">
        <v>810381</v>
      </c>
      <c r="B32" s="2" t="s">
        <v>368</v>
      </c>
      <c r="C32" s="2" t="s">
        <v>375</v>
      </c>
      <c r="D32" s="2" t="s">
        <v>422</v>
      </c>
      <c r="E32" s="2">
        <v>3700</v>
      </c>
      <c r="F32" s="5">
        <v>49.22</v>
      </c>
      <c r="G32" s="5">
        <v>0.27</v>
      </c>
      <c r="H32" s="5">
        <v>17.95</v>
      </c>
      <c r="I32" s="5">
        <v>10.54</v>
      </c>
      <c r="J32" s="5">
        <v>0.13</v>
      </c>
      <c r="K32" s="5">
        <v>12.92</v>
      </c>
      <c r="L32" s="5">
        <v>7.66</v>
      </c>
      <c r="M32" s="5">
        <v>0.15</v>
      </c>
      <c r="N32" s="5">
        <v>0.97</v>
      </c>
      <c r="O32" s="5">
        <v>0.18</v>
      </c>
      <c r="P32" s="5">
        <v>1.1599999999999999</v>
      </c>
      <c r="Q32" s="5">
        <v>101.15</v>
      </c>
      <c r="R32" s="5">
        <f t="shared" si="0"/>
        <v>70.830152827673786</v>
      </c>
      <c r="S32" s="5">
        <v>1509.3</v>
      </c>
      <c r="T32" s="5"/>
      <c r="U32" s="5"/>
      <c r="V32" s="5"/>
      <c r="W32" s="5">
        <v>209</v>
      </c>
      <c r="X32" s="5">
        <v>258</v>
      </c>
      <c r="Y32" s="5">
        <v>69</v>
      </c>
      <c r="Z32" s="5">
        <v>212</v>
      </c>
      <c r="AA32" s="5"/>
      <c r="AB32" s="5"/>
      <c r="AC32" s="5">
        <v>13</v>
      </c>
      <c r="AD32" s="5">
        <v>10.130000000000001</v>
      </c>
      <c r="AE32" s="5">
        <v>49</v>
      </c>
      <c r="AF32" s="5">
        <v>11.2</v>
      </c>
      <c r="AG32" s="5">
        <v>14.7</v>
      </c>
      <c r="AH32" s="5">
        <v>0.439</v>
      </c>
      <c r="AI32" s="5"/>
      <c r="AJ32" s="5"/>
      <c r="AK32" s="5">
        <v>8.5</v>
      </c>
      <c r="AL32" s="5">
        <v>0.85899999999999999</v>
      </c>
      <c r="AM32" s="5">
        <v>1.841</v>
      </c>
      <c r="AN32" s="5">
        <v>0.23699999999999999</v>
      </c>
      <c r="AO32" s="5">
        <v>1.163</v>
      </c>
      <c r="AP32" s="5"/>
      <c r="AQ32" s="5">
        <v>0.16300000000000001</v>
      </c>
      <c r="AR32" s="5">
        <v>0.74299999999999999</v>
      </c>
      <c r="AS32" s="5">
        <v>0.158</v>
      </c>
      <c r="AT32" s="5">
        <v>1.363</v>
      </c>
      <c r="AU32" s="5">
        <v>0.36899999999999999</v>
      </c>
      <c r="AV32" s="5">
        <v>1.2</v>
      </c>
      <c r="AW32" s="5">
        <v>0.20499999999999999</v>
      </c>
      <c r="AX32" s="5">
        <v>1.383</v>
      </c>
      <c r="AY32" s="5">
        <v>0.22900000000000001</v>
      </c>
      <c r="AZ32" s="5">
        <v>0.435</v>
      </c>
      <c r="BA32" s="5"/>
      <c r="BB32" s="5"/>
      <c r="BC32" s="5">
        <v>86.6</v>
      </c>
      <c r="BD32" s="5">
        <v>0.14199999999999999</v>
      </c>
      <c r="BE32" s="5"/>
      <c r="BF32" s="5">
        <v>3.3860000000000001</v>
      </c>
      <c r="BG32" s="5">
        <v>9.9130000000000003</v>
      </c>
      <c r="BH32" s="5">
        <v>0.49242326525347502</v>
      </c>
      <c r="BI32" s="5">
        <f t="shared" si="1"/>
        <v>72.953015384615369</v>
      </c>
      <c r="BJ32" s="5">
        <v>66.481481481481495</v>
      </c>
      <c r="BK32" s="5">
        <f t="shared" si="2"/>
        <v>0.44552446677710966</v>
      </c>
      <c r="BL32" s="5">
        <v>0.44443037017098491</v>
      </c>
      <c r="BM32" s="98">
        <v>1281.559</v>
      </c>
      <c r="BN32" s="5">
        <v>1.23001695</v>
      </c>
      <c r="BO32" s="6"/>
      <c r="BP32" s="6"/>
      <c r="BQ32" s="6"/>
      <c r="BR32" s="6"/>
      <c r="BS32" s="2" t="s">
        <v>317</v>
      </c>
      <c r="BT32" s="52" t="s">
        <v>377</v>
      </c>
    </row>
    <row r="33" spans="1:72">
      <c r="A33" s="2" t="s">
        <v>371</v>
      </c>
      <c r="B33" s="2" t="s">
        <v>368</v>
      </c>
      <c r="C33" s="2" t="s">
        <v>375</v>
      </c>
      <c r="D33" s="2" t="s">
        <v>422</v>
      </c>
      <c r="E33" s="2">
        <v>3700</v>
      </c>
      <c r="F33" s="5">
        <v>49.71</v>
      </c>
      <c r="G33" s="5">
        <v>0.28999999999999998</v>
      </c>
      <c r="H33" s="5">
        <v>18.29</v>
      </c>
      <c r="I33" s="5">
        <v>11.18</v>
      </c>
      <c r="J33" s="5">
        <v>0.19</v>
      </c>
      <c r="K33" s="5">
        <v>9.6300000000000008</v>
      </c>
      <c r="L33" s="5">
        <v>9.06</v>
      </c>
      <c r="M33" s="5">
        <v>0.02</v>
      </c>
      <c r="N33" s="5">
        <v>1.44</v>
      </c>
      <c r="O33" s="5">
        <v>0.18</v>
      </c>
      <c r="P33" s="5">
        <v>0.4</v>
      </c>
      <c r="Q33" s="5">
        <v>100.39</v>
      </c>
      <c r="R33" s="5">
        <f t="shared" si="0"/>
        <v>63.048710284085715</v>
      </c>
      <c r="S33" s="5">
        <v>1621.1</v>
      </c>
      <c r="T33" s="5"/>
      <c r="U33" s="5"/>
      <c r="V33" s="5"/>
      <c r="W33" s="5">
        <v>212</v>
      </c>
      <c r="X33" s="5">
        <v>3</v>
      </c>
      <c r="Y33" s="5">
        <v>63</v>
      </c>
      <c r="Z33" s="5">
        <v>161</v>
      </c>
      <c r="AA33" s="5"/>
      <c r="AB33" s="5"/>
      <c r="AC33" s="5">
        <v>14</v>
      </c>
      <c r="AD33" s="5">
        <v>1.51</v>
      </c>
      <c r="AE33" s="5">
        <v>54</v>
      </c>
      <c r="AF33" s="5">
        <v>11.9</v>
      </c>
      <c r="AG33" s="5">
        <v>29.5</v>
      </c>
      <c r="AH33" s="5">
        <v>0.64200000000000002</v>
      </c>
      <c r="AI33" s="5"/>
      <c r="AJ33" s="5"/>
      <c r="AK33" s="5">
        <v>3.7</v>
      </c>
      <c r="AL33" s="5">
        <v>1.5589999999999999</v>
      </c>
      <c r="AM33" s="5">
        <v>3.839</v>
      </c>
      <c r="AN33" s="5">
        <v>0.53200000000000003</v>
      </c>
      <c r="AO33" s="5">
        <v>2.4729999999999999</v>
      </c>
      <c r="AP33" s="5"/>
      <c r="AQ33" s="5">
        <v>0.28799999999999998</v>
      </c>
      <c r="AR33" s="5">
        <v>1.1459999999999999</v>
      </c>
      <c r="AS33" s="5">
        <v>0.23499999999999999</v>
      </c>
      <c r="AT33" s="5">
        <v>1.857</v>
      </c>
      <c r="AU33" s="5">
        <v>0.46400000000000002</v>
      </c>
      <c r="AV33" s="5">
        <v>1.708</v>
      </c>
      <c r="AW33" s="5">
        <v>0.254</v>
      </c>
      <c r="AX33" s="5">
        <v>1.7470000000000001</v>
      </c>
      <c r="AY33" s="5">
        <v>0.28199999999999997</v>
      </c>
      <c r="AZ33" s="5">
        <v>0.99099999999999999</v>
      </c>
      <c r="BA33" s="5"/>
      <c r="BB33" s="5"/>
      <c r="BC33" s="5">
        <v>2.68</v>
      </c>
      <c r="BD33" s="5">
        <v>0.28999999999999998</v>
      </c>
      <c r="BE33" s="5"/>
      <c r="BF33" s="5">
        <v>4.4550000000000001</v>
      </c>
      <c r="BG33" s="5">
        <v>16.384</v>
      </c>
      <c r="BH33" s="5">
        <v>0.39678579878675801</v>
      </c>
      <c r="BI33" s="5">
        <f t="shared" si="1"/>
        <v>52.946126315789471</v>
      </c>
      <c r="BJ33" s="5">
        <v>63.068965517241402</v>
      </c>
      <c r="BK33" s="5">
        <f t="shared" si="2"/>
        <v>0.64010878202294952</v>
      </c>
      <c r="BL33" s="5">
        <v>0.54266124618219347</v>
      </c>
      <c r="BM33" s="98">
        <v>1307.2049999999999</v>
      </c>
      <c r="BN33" s="5">
        <v>1.3614893400000001</v>
      </c>
      <c r="BO33" s="6"/>
      <c r="BP33" s="6"/>
      <c r="BQ33" s="6"/>
      <c r="BR33" s="6"/>
      <c r="BS33" s="2" t="s">
        <v>317</v>
      </c>
      <c r="BT33" s="52" t="s">
        <v>377</v>
      </c>
    </row>
    <row r="34" spans="1:72">
      <c r="A34" s="2" t="s">
        <v>372</v>
      </c>
      <c r="B34" s="2" t="s">
        <v>368</v>
      </c>
      <c r="C34" s="2" t="s">
        <v>375</v>
      </c>
      <c r="D34" s="2" t="s">
        <v>422</v>
      </c>
      <c r="E34" s="2">
        <v>3700</v>
      </c>
      <c r="F34" s="5">
        <v>48.6</v>
      </c>
      <c r="G34" s="5">
        <v>0.17</v>
      </c>
      <c r="H34" s="5">
        <v>15.87</v>
      </c>
      <c r="I34" s="5">
        <v>10.38</v>
      </c>
      <c r="J34" s="5">
        <v>0.2</v>
      </c>
      <c r="K34" s="5">
        <v>13.49</v>
      </c>
      <c r="L34" s="5">
        <v>10.23</v>
      </c>
      <c r="M34" s="5">
        <v>0.05</v>
      </c>
      <c r="N34" s="5">
        <v>0.82</v>
      </c>
      <c r="O34" s="5">
        <v>0.19</v>
      </c>
      <c r="P34" s="5">
        <v>3.9</v>
      </c>
      <c r="Q34" s="5">
        <v>103.9</v>
      </c>
      <c r="R34" s="5">
        <f t="shared" si="0"/>
        <v>72.023308727507185</v>
      </c>
      <c r="S34" s="5">
        <v>950.3</v>
      </c>
      <c r="T34" s="5"/>
      <c r="U34" s="5"/>
      <c r="V34" s="5"/>
      <c r="W34" s="5">
        <v>169</v>
      </c>
      <c r="X34" s="5">
        <v>757</v>
      </c>
      <c r="Y34" s="5">
        <v>58</v>
      </c>
      <c r="Z34" s="5">
        <v>343</v>
      </c>
      <c r="AA34" s="5"/>
      <c r="AB34" s="5"/>
      <c r="AC34" s="5">
        <v>9</v>
      </c>
      <c r="AD34" s="5">
        <v>1.4</v>
      </c>
      <c r="AE34" s="5">
        <v>62</v>
      </c>
      <c r="AF34" s="5">
        <v>8.8000000000000007</v>
      </c>
      <c r="AG34" s="5">
        <v>13.7</v>
      </c>
      <c r="AH34" s="5">
        <v>0.16200000000000001</v>
      </c>
      <c r="AI34" s="5"/>
      <c r="AJ34" s="5"/>
      <c r="AK34" s="5">
        <v>8</v>
      </c>
      <c r="AL34" s="5">
        <v>0.48</v>
      </c>
      <c r="AM34" s="5">
        <v>1.216</v>
      </c>
      <c r="AN34" s="5">
        <v>0.19</v>
      </c>
      <c r="AO34" s="5">
        <v>1.018</v>
      </c>
      <c r="AP34" s="5"/>
      <c r="AQ34" s="5">
        <v>0.126</v>
      </c>
      <c r="AR34" s="5">
        <v>0.67600000000000005</v>
      </c>
      <c r="AS34" s="5">
        <v>0.14899999999999999</v>
      </c>
      <c r="AT34" s="5">
        <v>1.2769999999999999</v>
      </c>
      <c r="AU34" s="5">
        <v>0.34399999999999997</v>
      </c>
      <c r="AV34" s="5">
        <v>1.2549999999999999</v>
      </c>
      <c r="AW34" s="5">
        <v>0.182</v>
      </c>
      <c r="AX34" s="5">
        <v>1.2529999999999999</v>
      </c>
      <c r="AY34" s="5">
        <v>0.186</v>
      </c>
      <c r="AZ34" s="5">
        <v>0.47799999999999998</v>
      </c>
      <c r="BA34" s="5"/>
      <c r="BB34" s="5"/>
      <c r="BC34" s="5">
        <v>2.93</v>
      </c>
      <c r="BD34" s="5">
        <v>7.5999999999999998E-2</v>
      </c>
      <c r="BE34" s="5"/>
      <c r="BF34" s="5">
        <v>3.22</v>
      </c>
      <c r="BG34" s="5">
        <v>8.3520000000000003</v>
      </c>
      <c r="BH34" s="5">
        <v>0.32519284712482499</v>
      </c>
      <c r="BI34" s="5">
        <f t="shared" si="1"/>
        <v>46.699620000000003</v>
      </c>
      <c r="BJ34" s="5">
        <v>93.352941176470594</v>
      </c>
      <c r="BK34" s="5">
        <f t="shared" si="2"/>
        <v>0.27478355743683519</v>
      </c>
      <c r="BL34" s="5">
        <v>0.44630599456681108</v>
      </c>
      <c r="BM34" s="98">
        <v>1284.7370000000001</v>
      </c>
      <c r="BN34" s="5">
        <v>1.26428542</v>
      </c>
      <c r="BO34" s="6"/>
      <c r="BP34" s="6"/>
      <c r="BQ34" s="6"/>
      <c r="BR34" s="6"/>
      <c r="BS34" s="2" t="s">
        <v>317</v>
      </c>
      <c r="BT34" s="52" t="s">
        <v>377</v>
      </c>
    </row>
    <row r="35" spans="1:72">
      <c r="A35" s="2" t="s">
        <v>373</v>
      </c>
      <c r="B35" s="2" t="s">
        <v>368</v>
      </c>
      <c r="C35" s="2" t="s">
        <v>375</v>
      </c>
      <c r="D35" s="2" t="s">
        <v>422</v>
      </c>
      <c r="E35" s="2">
        <v>3700</v>
      </c>
      <c r="F35" s="5">
        <v>50.09</v>
      </c>
      <c r="G35" s="5">
        <v>0.32</v>
      </c>
      <c r="H35" s="5">
        <v>17.77</v>
      </c>
      <c r="I35" s="5">
        <v>11.4</v>
      </c>
      <c r="J35" s="5">
        <v>0.17</v>
      </c>
      <c r="K35" s="5">
        <v>9.82</v>
      </c>
      <c r="L35" s="5">
        <v>8.18</v>
      </c>
      <c r="M35" s="5">
        <v>0.02</v>
      </c>
      <c r="N35" s="5">
        <v>2.02</v>
      </c>
      <c r="O35" s="5">
        <v>0.21</v>
      </c>
      <c r="P35" s="5">
        <v>0.92</v>
      </c>
      <c r="Q35" s="5">
        <v>100.92</v>
      </c>
      <c r="R35" s="5">
        <f t="shared" si="0"/>
        <v>63.049898646013666</v>
      </c>
      <c r="S35" s="5">
        <v>1788.8</v>
      </c>
      <c r="T35" s="5"/>
      <c r="U35" s="5"/>
      <c r="V35" s="5"/>
      <c r="W35" s="5">
        <v>219</v>
      </c>
      <c r="X35" s="5">
        <v>219</v>
      </c>
      <c r="Y35" s="5">
        <v>69</v>
      </c>
      <c r="Z35" s="5">
        <v>113</v>
      </c>
      <c r="AA35" s="5"/>
      <c r="AB35" s="5"/>
      <c r="AC35" s="5">
        <v>15</v>
      </c>
      <c r="AD35" s="5">
        <v>0.72</v>
      </c>
      <c r="AE35" s="5">
        <v>67</v>
      </c>
      <c r="AF35" s="5">
        <v>12.6</v>
      </c>
      <c r="AG35" s="5">
        <v>20.5</v>
      </c>
      <c r="AH35" s="5">
        <v>0.45</v>
      </c>
      <c r="AI35" s="5"/>
      <c r="AJ35" s="5"/>
      <c r="AK35" s="5">
        <v>12.1</v>
      </c>
      <c r="AL35" s="5">
        <v>0.96899999999999997</v>
      </c>
      <c r="AM35" s="5">
        <v>2.5329999999999999</v>
      </c>
      <c r="AN35" s="5">
        <v>0.38200000000000001</v>
      </c>
      <c r="AO35" s="5">
        <v>1.746</v>
      </c>
      <c r="AP35" s="5"/>
      <c r="AQ35" s="5">
        <v>0.214</v>
      </c>
      <c r="AR35" s="5">
        <v>0.98499999999999999</v>
      </c>
      <c r="AS35" s="5">
        <v>0.19900000000000001</v>
      </c>
      <c r="AT35" s="5">
        <v>1.5760000000000001</v>
      </c>
      <c r="AU35" s="5">
        <v>0.39900000000000002</v>
      </c>
      <c r="AV35" s="5">
        <v>1.246</v>
      </c>
      <c r="AW35" s="5">
        <v>0.218</v>
      </c>
      <c r="AX35" s="5">
        <v>1.327</v>
      </c>
      <c r="AY35" s="5">
        <v>0.23100000000000001</v>
      </c>
      <c r="AZ35" s="5">
        <v>0.51500000000000001</v>
      </c>
      <c r="BA35" s="5"/>
      <c r="BB35" s="5"/>
      <c r="BC35" s="5">
        <v>6.35</v>
      </c>
      <c r="BD35" s="5">
        <v>0.14099999999999999</v>
      </c>
      <c r="BE35" s="5"/>
      <c r="BF35" s="5">
        <v>3.4209999999999998</v>
      </c>
      <c r="BG35" s="5">
        <v>12.025</v>
      </c>
      <c r="BH35" s="5">
        <v>0.44746177794953501</v>
      </c>
      <c r="BI35" s="5">
        <f t="shared" si="1"/>
        <v>60.339529411764708</v>
      </c>
      <c r="BJ35" s="5">
        <v>55.53125</v>
      </c>
      <c r="BK35" s="5">
        <f t="shared" si="2"/>
        <v>0.52378544923831249</v>
      </c>
      <c r="BL35" s="5">
        <v>0.61404811540950921</v>
      </c>
      <c r="BM35" s="98">
        <v>1312.6559999999999</v>
      </c>
      <c r="BN35" s="5">
        <v>1.4145234600000001</v>
      </c>
      <c r="BO35" s="6"/>
      <c r="BP35" s="6"/>
      <c r="BQ35" s="6"/>
      <c r="BR35" s="6"/>
      <c r="BS35" s="2" t="s">
        <v>317</v>
      </c>
      <c r="BT35" s="52" t="s">
        <v>377</v>
      </c>
    </row>
    <row r="36" spans="1:72">
      <c r="A36" s="2" t="s">
        <v>369</v>
      </c>
      <c r="B36" s="2" t="s">
        <v>368</v>
      </c>
      <c r="C36" s="2" t="s">
        <v>375</v>
      </c>
      <c r="D36" s="2" t="s">
        <v>422</v>
      </c>
      <c r="E36" s="2">
        <v>3700</v>
      </c>
      <c r="F36" s="5">
        <v>50.13</v>
      </c>
      <c r="G36" s="5">
        <v>0.32</v>
      </c>
      <c r="H36" s="5">
        <v>17.96</v>
      </c>
      <c r="I36" s="5">
        <v>11.12</v>
      </c>
      <c r="J36" s="5">
        <v>0.19</v>
      </c>
      <c r="K36" s="5">
        <v>8.9700000000000006</v>
      </c>
      <c r="L36" s="5">
        <v>8.5399999999999991</v>
      </c>
      <c r="M36" s="5">
        <v>2.6</v>
      </c>
      <c r="N36" s="5">
        <v>0.14000000000000001</v>
      </c>
      <c r="O36" s="5">
        <v>0.02</v>
      </c>
      <c r="P36" s="5">
        <v>2.63</v>
      </c>
      <c r="Q36" s="5">
        <v>102.62</v>
      </c>
      <c r="R36" s="5">
        <f t="shared" si="0"/>
        <v>61.507381225806704</v>
      </c>
      <c r="S36" s="5">
        <v>1788.8</v>
      </c>
      <c r="T36" s="5"/>
      <c r="U36" s="5"/>
      <c r="V36" s="5"/>
      <c r="W36" s="5">
        <v>212</v>
      </c>
      <c r="X36" s="5">
        <v>196</v>
      </c>
      <c r="Y36" s="5">
        <v>44</v>
      </c>
      <c r="Z36" s="5">
        <v>103</v>
      </c>
      <c r="AA36" s="5"/>
      <c r="AB36" s="5"/>
      <c r="AC36" s="5">
        <v>15</v>
      </c>
      <c r="AD36" s="5">
        <v>5.0999999999999996</v>
      </c>
      <c r="AE36" s="5">
        <v>76</v>
      </c>
      <c r="AF36" s="5">
        <v>10</v>
      </c>
      <c r="AG36" s="5">
        <v>23.6</v>
      </c>
      <c r="AH36" s="5">
        <v>0.53300000000000003</v>
      </c>
      <c r="AI36" s="5"/>
      <c r="AJ36" s="5"/>
      <c r="AK36" s="5">
        <v>12</v>
      </c>
      <c r="AL36" s="5">
        <v>0.67600000000000005</v>
      </c>
      <c r="AM36" s="5">
        <v>1.823</v>
      </c>
      <c r="AN36" s="5">
        <v>0.27300000000000002</v>
      </c>
      <c r="AO36" s="5">
        <v>1.401</v>
      </c>
      <c r="AP36" s="5"/>
      <c r="AQ36" s="5">
        <v>0.22900000000000001</v>
      </c>
      <c r="AR36" s="5">
        <v>0.85599999999999998</v>
      </c>
      <c r="AS36" s="5">
        <v>0.17399999999999999</v>
      </c>
      <c r="AT36" s="5">
        <v>1.431</v>
      </c>
      <c r="AU36" s="5">
        <v>0.35699999999999998</v>
      </c>
      <c r="AV36" s="5">
        <v>1.278</v>
      </c>
      <c r="AW36" s="5">
        <v>0.192</v>
      </c>
      <c r="AX36" s="5">
        <v>1.3440000000000001</v>
      </c>
      <c r="AY36" s="5">
        <v>0.22</v>
      </c>
      <c r="AZ36" s="5"/>
      <c r="BA36" s="5"/>
      <c r="BB36" s="5"/>
      <c r="BC36" s="5"/>
      <c r="BD36" s="5">
        <v>0.16800000000000001</v>
      </c>
      <c r="BE36" s="5"/>
      <c r="BF36" s="5">
        <v>3.391</v>
      </c>
      <c r="BG36" s="5">
        <v>10.254</v>
      </c>
      <c r="BH36" s="5">
        <v>0.75970978530585798</v>
      </c>
      <c r="BI36" s="5">
        <f t="shared" si="1"/>
        <v>52.661978947368418</v>
      </c>
      <c r="BJ36" s="5">
        <v>56.125</v>
      </c>
      <c r="BK36" s="5">
        <f t="shared" si="2"/>
        <v>0.36078460920233074</v>
      </c>
      <c r="BL36" s="5">
        <v>0.52687985169736995</v>
      </c>
      <c r="BM36" s="98">
        <v>1276.979</v>
      </c>
      <c r="BN36" s="5">
        <v>1.26315942</v>
      </c>
      <c r="BO36" s="6"/>
      <c r="BP36" s="6"/>
      <c r="BQ36" s="6"/>
      <c r="BR36" s="6"/>
      <c r="BS36" s="2" t="s">
        <v>317</v>
      </c>
      <c r="BT36" s="52" t="s">
        <v>377</v>
      </c>
    </row>
    <row r="37" spans="1:72">
      <c r="A37" s="2" t="s">
        <v>370</v>
      </c>
      <c r="B37" s="2" t="s">
        <v>368</v>
      </c>
      <c r="C37" s="2" t="s">
        <v>375</v>
      </c>
      <c r="D37" s="2" t="s">
        <v>422</v>
      </c>
      <c r="E37" s="2">
        <v>3700</v>
      </c>
      <c r="F37" s="5">
        <v>51.65</v>
      </c>
      <c r="G37" s="5">
        <v>0.35</v>
      </c>
      <c r="H37" s="5">
        <v>18.46</v>
      </c>
      <c r="I37" s="5">
        <v>10.41</v>
      </c>
      <c r="J37" s="5">
        <v>0.13</v>
      </c>
      <c r="K37" s="5">
        <v>8.49</v>
      </c>
      <c r="L37" s="5">
        <v>6.98</v>
      </c>
      <c r="M37" s="5">
        <v>3.4</v>
      </c>
      <c r="N37" s="5">
        <v>0.11</v>
      </c>
      <c r="O37" s="5">
        <v>0.02</v>
      </c>
      <c r="P37" s="5">
        <v>1.72</v>
      </c>
      <c r="Q37" s="5">
        <v>101.72</v>
      </c>
      <c r="R37" s="5">
        <f t="shared" si="0"/>
        <v>61.767051741254363</v>
      </c>
      <c r="S37" s="5">
        <v>1956.5</v>
      </c>
      <c r="T37" s="5"/>
      <c r="U37" s="5"/>
      <c r="V37" s="5"/>
      <c r="W37" s="5">
        <v>191</v>
      </c>
      <c r="X37" s="5">
        <v>201</v>
      </c>
      <c r="Y37" s="5">
        <v>44</v>
      </c>
      <c r="Z37" s="5">
        <v>98</v>
      </c>
      <c r="AA37" s="5"/>
      <c r="AB37" s="5"/>
      <c r="AC37" s="5">
        <v>15</v>
      </c>
      <c r="AD37" s="5">
        <v>4.0999999999999996</v>
      </c>
      <c r="AE37" s="5">
        <v>118</v>
      </c>
      <c r="AF37" s="5">
        <v>12</v>
      </c>
      <c r="AG37" s="5">
        <v>25.4</v>
      </c>
      <c r="AH37" s="5">
        <v>0.65100000000000002</v>
      </c>
      <c r="AI37" s="5"/>
      <c r="AJ37" s="5"/>
      <c r="AK37" s="5">
        <v>19</v>
      </c>
      <c r="AL37" s="5">
        <v>1.1040000000000001</v>
      </c>
      <c r="AM37" s="5">
        <v>2.633</v>
      </c>
      <c r="AN37" s="5">
        <v>0.42</v>
      </c>
      <c r="AO37" s="5">
        <v>1.87</v>
      </c>
      <c r="AP37" s="5"/>
      <c r="AQ37" s="5">
        <v>0.20399999999999999</v>
      </c>
      <c r="AR37" s="5">
        <v>1.0529999999999999</v>
      </c>
      <c r="AS37" s="5">
        <v>0.216</v>
      </c>
      <c r="AT37" s="5">
        <v>1.75</v>
      </c>
      <c r="AU37" s="5">
        <v>0.42899999999999999</v>
      </c>
      <c r="AV37" s="5">
        <v>1.44</v>
      </c>
      <c r="AW37" s="5">
        <v>0.24199999999999999</v>
      </c>
      <c r="AX37" s="5">
        <v>1.5409999999999999</v>
      </c>
      <c r="AY37" s="5">
        <v>0.222</v>
      </c>
      <c r="AZ37" s="5"/>
      <c r="BA37" s="5"/>
      <c r="BB37" s="5"/>
      <c r="BC37" s="5"/>
      <c r="BD37" s="5">
        <v>0.19800000000000001</v>
      </c>
      <c r="BE37" s="5"/>
      <c r="BF37" s="5">
        <v>3.8740000000000001</v>
      </c>
      <c r="BG37" s="5">
        <v>13.124000000000001</v>
      </c>
      <c r="BH37" s="5">
        <v>0.56817107750472595</v>
      </c>
      <c r="BI37" s="5">
        <f t="shared" si="1"/>
        <v>72.053215384615385</v>
      </c>
      <c r="BJ37" s="5">
        <v>52.742857142857098</v>
      </c>
      <c r="BK37" s="5">
        <f t="shared" si="2"/>
        <v>0.51388626487814104</v>
      </c>
      <c r="BL37" s="5">
        <v>0.5652789685340357</v>
      </c>
      <c r="BM37" s="98">
        <v>1282.4880000000001</v>
      </c>
      <c r="BN37" s="5">
        <v>1.31416621</v>
      </c>
      <c r="BO37" s="6"/>
      <c r="BP37" s="6"/>
      <c r="BQ37" s="6"/>
      <c r="BR37" s="6"/>
      <c r="BS37" s="2" t="s">
        <v>317</v>
      </c>
      <c r="BT37" s="52" t="s">
        <v>377</v>
      </c>
    </row>
    <row r="38" spans="1:72">
      <c r="A38" s="2" t="s">
        <v>187</v>
      </c>
      <c r="B38" s="2" t="s">
        <v>366</v>
      </c>
      <c r="C38" s="2" t="s">
        <v>291</v>
      </c>
      <c r="D38" s="2" t="s">
        <v>428</v>
      </c>
      <c r="E38" s="99">
        <v>2698</v>
      </c>
      <c r="F38" s="5">
        <v>54.43</v>
      </c>
      <c r="G38" s="5">
        <v>0.46</v>
      </c>
      <c r="H38" s="5">
        <v>6.62</v>
      </c>
      <c r="I38" s="5">
        <v>9.83</v>
      </c>
      <c r="J38" s="5">
        <v>0.14000000000000001</v>
      </c>
      <c r="K38" s="5">
        <v>15.03</v>
      </c>
      <c r="L38" s="5">
        <v>11.42</v>
      </c>
      <c r="M38" s="5">
        <v>1.39</v>
      </c>
      <c r="N38" s="5">
        <v>0.51</v>
      </c>
      <c r="O38" s="5">
        <v>0.17</v>
      </c>
      <c r="P38" s="5">
        <v>0.6</v>
      </c>
      <c r="Q38" s="5">
        <f>SUM(F38:G38,H38,I38,J38,K38,L38,M38,N38,O38)</f>
        <v>100.00000000000001</v>
      </c>
      <c r="R38" s="5">
        <f t="shared" si="0"/>
        <v>75.178583867328896</v>
      </c>
      <c r="S38" s="5">
        <f t="shared" ref="S38:S69" si="3">G38*47.87*10000/79.87</f>
        <v>2757.00513334168</v>
      </c>
      <c r="T38" s="5"/>
      <c r="U38" s="5"/>
      <c r="V38" s="5">
        <v>40.4</v>
      </c>
      <c r="W38" s="5">
        <v>192</v>
      </c>
      <c r="X38" s="5">
        <v>1330</v>
      </c>
      <c r="Y38" s="5">
        <v>44.3</v>
      </c>
      <c r="Z38" s="5">
        <v>174</v>
      </c>
      <c r="AA38" s="5">
        <v>24.6</v>
      </c>
      <c r="AB38" s="5">
        <v>70</v>
      </c>
      <c r="AC38" s="5">
        <v>11.6</v>
      </c>
      <c r="AD38" s="5">
        <v>5.6</v>
      </c>
      <c r="AE38" s="5">
        <v>192.5</v>
      </c>
      <c r="AF38" s="5">
        <v>15.9</v>
      </c>
      <c r="AG38" s="5">
        <v>108</v>
      </c>
      <c r="AH38" s="5">
        <v>4.9000000000000004</v>
      </c>
      <c r="AI38" s="5"/>
      <c r="AJ38" s="5">
        <v>0.2</v>
      </c>
      <c r="AK38" s="5">
        <v>106</v>
      </c>
      <c r="AL38" s="5">
        <v>14.9</v>
      </c>
      <c r="AM38" s="5">
        <v>34</v>
      </c>
      <c r="AN38" s="5">
        <v>4.01</v>
      </c>
      <c r="AO38" s="5">
        <v>16</v>
      </c>
      <c r="AP38" s="5">
        <v>3.2</v>
      </c>
      <c r="AQ38" s="5">
        <v>0.83</v>
      </c>
      <c r="AR38" s="5">
        <v>3.01</v>
      </c>
      <c r="AS38" s="5">
        <v>0.47</v>
      </c>
      <c r="AT38" s="5">
        <v>2.78</v>
      </c>
      <c r="AU38" s="5">
        <v>0.57999999999999996</v>
      </c>
      <c r="AV38" s="5">
        <v>1.56</v>
      </c>
      <c r="AW38" s="5">
        <v>0.23</v>
      </c>
      <c r="AX38" s="5">
        <v>1.39</v>
      </c>
      <c r="AY38" s="5">
        <v>0.21</v>
      </c>
      <c r="AZ38" s="5">
        <v>2.7</v>
      </c>
      <c r="BA38" s="5">
        <v>0.31</v>
      </c>
      <c r="BB38" s="5"/>
      <c r="BC38" s="5">
        <v>3.3</v>
      </c>
      <c r="BD38" s="5">
        <v>4.13</v>
      </c>
      <c r="BE38" s="5">
        <v>1.06</v>
      </c>
      <c r="BF38" s="5">
        <v>3.97</v>
      </c>
      <c r="BG38" s="5">
        <v>83.17</v>
      </c>
      <c r="BH38" s="5">
        <v>0.31686700490413</v>
      </c>
      <c r="BI38" s="5">
        <f t="shared" si="1"/>
        <v>63.178814285714282</v>
      </c>
      <c r="BJ38" s="5">
        <v>14.3913043478261</v>
      </c>
      <c r="BK38" s="5">
        <f t="shared" si="2"/>
        <v>7.6890386425037196</v>
      </c>
      <c r="BL38" s="5">
        <v>1.7913844107196</v>
      </c>
      <c r="BM38" s="98">
        <v>1250.604</v>
      </c>
      <c r="BN38" s="5">
        <v>0.66656042000000004</v>
      </c>
      <c r="BO38" s="6">
        <v>1.1049999999998801</v>
      </c>
      <c r="BP38" s="6">
        <f>(BN38-1)*0.4+BO38</f>
        <v>0.97162416799988005</v>
      </c>
      <c r="BQ38" s="6"/>
      <c r="BR38" s="6"/>
      <c r="BS38" s="2" t="s">
        <v>295</v>
      </c>
      <c r="BT38" s="52" t="s">
        <v>358</v>
      </c>
    </row>
    <row r="39" spans="1:72">
      <c r="A39" s="2" t="s">
        <v>188</v>
      </c>
      <c r="B39" s="2" t="s">
        <v>366</v>
      </c>
      <c r="C39" s="2" t="s">
        <v>291</v>
      </c>
      <c r="D39" s="2" t="s">
        <v>428</v>
      </c>
      <c r="E39" s="99">
        <v>2698</v>
      </c>
      <c r="F39" s="5">
        <v>54.34</v>
      </c>
      <c r="G39" s="5">
        <v>0.45</v>
      </c>
      <c r="H39" s="5">
        <v>6.59</v>
      </c>
      <c r="I39" s="5">
        <v>9.84</v>
      </c>
      <c r="J39" s="5">
        <v>0.14000000000000001</v>
      </c>
      <c r="K39" s="5">
        <v>15.19</v>
      </c>
      <c r="L39" s="5">
        <v>11.39</v>
      </c>
      <c r="M39" s="5">
        <v>1.4</v>
      </c>
      <c r="N39" s="5">
        <v>0.52</v>
      </c>
      <c r="O39" s="5">
        <v>0.15</v>
      </c>
      <c r="P39" s="5">
        <v>0.65</v>
      </c>
      <c r="Q39" s="5">
        <f>SUM(F39:G39,H39,I39,J39,K39,L39,M39,N39,O39)</f>
        <v>100.01000000000002</v>
      </c>
      <c r="R39" s="5">
        <f t="shared" si="0"/>
        <v>75.356776544123321</v>
      </c>
      <c r="S39" s="5">
        <f t="shared" si="3"/>
        <v>2697.0702391385998</v>
      </c>
      <c r="T39" s="5"/>
      <c r="U39" s="5"/>
      <c r="V39" s="5">
        <v>43.3</v>
      </c>
      <c r="W39" s="5">
        <v>200</v>
      </c>
      <c r="X39" s="5">
        <v>1450</v>
      </c>
      <c r="Y39" s="5">
        <v>46.2</v>
      </c>
      <c r="Z39" s="5">
        <v>177</v>
      </c>
      <c r="AA39" s="5">
        <v>23.4</v>
      </c>
      <c r="AB39" s="5">
        <v>72</v>
      </c>
      <c r="AC39" s="5">
        <v>12.45</v>
      </c>
      <c r="AD39" s="5">
        <v>6.1</v>
      </c>
      <c r="AE39" s="5">
        <v>206</v>
      </c>
      <c r="AF39" s="5">
        <v>16.600000000000001</v>
      </c>
      <c r="AG39" s="5">
        <v>115</v>
      </c>
      <c r="AH39" s="5">
        <v>5</v>
      </c>
      <c r="AI39" s="5"/>
      <c r="AJ39" s="5">
        <v>0.23</v>
      </c>
      <c r="AK39" s="5">
        <v>123</v>
      </c>
      <c r="AL39" s="5">
        <v>14.2</v>
      </c>
      <c r="AM39" s="5">
        <v>34.700000000000003</v>
      </c>
      <c r="AN39" s="5">
        <v>4.04</v>
      </c>
      <c r="AO39" s="5">
        <v>16.5</v>
      </c>
      <c r="AP39" s="5">
        <v>3.16</v>
      </c>
      <c r="AQ39" s="5">
        <v>0.84</v>
      </c>
      <c r="AR39" s="5">
        <v>3.06</v>
      </c>
      <c r="AS39" s="5">
        <v>0.5</v>
      </c>
      <c r="AT39" s="5">
        <v>2.9</v>
      </c>
      <c r="AU39" s="5">
        <v>0.57999999999999996</v>
      </c>
      <c r="AV39" s="5">
        <v>1.54</v>
      </c>
      <c r="AW39" s="5">
        <v>0.23</v>
      </c>
      <c r="AX39" s="5">
        <v>1.48</v>
      </c>
      <c r="AY39" s="5">
        <v>0.22</v>
      </c>
      <c r="AZ39" s="5">
        <v>2.9</v>
      </c>
      <c r="BA39" s="5">
        <v>0.31</v>
      </c>
      <c r="BB39" s="5"/>
      <c r="BC39" s="5">
        <v>3.8</v>
      </c>
      <c r="BD39" s="5">
        <v>3.59</v>
      </c>
      <c r="BE39" s="5">
        <v>1</v>
      </c>
      <c r="BF39" s="5">
        <v>4.05</v>
      </c>
      <c r="BG39" s="5">
        <v>83.95</v>
      </c>
      <c r="BH39" s="5">
        <v>0.33927266262370898</v>
      </c>
      <c r="BI39" s="5">
        <f t="shared" si="1"/>
        <v>63.243085714285712</v>
      </c>
      <c r="BJ39" s="5">
        <v>14.6444444444444</v>
      </c>
      <c r="BK39" s="5">
        <f t="shared" si="2"/>
        <v>6.882198654350554</v>
      </c>
      <c r="BL39" s="5">
        <v>1.7103965279147799</v>
      </c>
      <c r="BM39" s="98">
        <v>1250.01</v>
      </c>
      <c r="BN39" s="5">
        <v>0.67218471000000002</v>
      </c>
      <c r="BO39" s="6">
        <v>1.35599999999985</v>
      </c>
      <c r="BP39" s="6">
        <f>(BN39-1)*0.4+BO39</f>
        <v>1.2248738839998501</v>
      </c>
      <c r="BQ39" s="6"/>
      <c r="BR39" s="6"/>
      <c r="BS39" s="2" t="s">
        <v>295</v>
      </c>
      <c r="BT39" s="52" t="s">
        <v>358</v>
      </c>
    </row>
    <row r="40" spans="1:72">
      <c r="A40" s="2" t="s">
        <v>189</v>
      </c>
      <c r="B40" s="2" t="s">
        <v>366</v>
      </c>
      <c r="C40" s="2" t="s">
        <v>291</v>
      </c>
      <c r="D40" s="2" t="s">
        <v>428</v>
      </c>
      <c r="E40" s="99">
        <v>2698</v>
      </c>
      <c r="F40" s="5">
        <v>53.59</v>
      </c>
      <c r="G40" s="5">
        <v>0.48</v>
      </c>
      <c r="H40" s="5">
        <v>6.82</v>
      </c>
      <c r="I40" s="5">
        <v>10.119999999999999</v>
      </c>
      <c r="J40" s="5">
        <v>0.14000000000000001</v>
      </c>
      <c r="K40" s="5">
        <v>15.19</v>
      </c>
      <c r="L40" s="5">
        <v>11.6</v>
      </c>
      <c r="M40" s="5">
        <v>1.38</v>
      </c>
      <c r="N40" s="5">
        <v>0.53</v>
      </c>
      <c r="O40" s="5">
        <v>0.17</v>
      </c>
      <c r="P40" s="5">
        <v>0.74</v>
      </c>
      <c r="Q40" s="5">
        <f>SUM(F40:G40,H40,I40,J40,K40,L40,M40,N40,O40)</f>
        <v>100.02</v>
      </c>
      <c r="R40" s="5">
        <f t="shared" si="0"/>
        <v>74.832031934677573</v>
      </c>
      <c r="S40" s="5">
        <f t="shared" si="3"/>
        <v>2876.8749217478403</v>
      </c>
      <c r="T40" s="5"/>
      <c r="U40" s="5"/>
      <c r="V40" s="5">
        <v>41.9</v>
      </c>
      <c r="W40" s="5">
        <v>198</v>
      </c>
      <c r="X40" s="5">
        <v>1360</v>
      </c>
      <c r="Y40" s="5">
        <v>45.6</v>
      </c>
      <c r="Z40" s="5">
        <v>185.5</v>
      </c>
      <c r="AA40" s="5">
        <v>29.3</v>
      </c>
      <c r="AB40" s="5">
        <v>75</v>
      </c>
      <c r="AC40" s="5">
        <v>12.4</v>
      </c>
      <c r="AD40" s="5">
        <v>5.6</v>
      </c>
      <c r="AE40" s="5">
        <v>169</v>
      </c>
      <c r="AF40" s="5">
        <v>15.6</v>
      </c>
      <c r="AG40" s="5">
        <v>95</v>
      </c>
      <c r="AH40" s="5">
        <v>5.7</v>
      </c>
      <c r="AI40" s="5"/>
      <c r="AJ40" s="5">
        <v>0.18</v>
      </c>
      <c r="AK40" s="5">
        <v>122</v>
      </c>
      <c r="AL40" s="5">
        <v>19.5</v>
      </c>
      <c r="AM40" s="5">
        <v>41.5</v>
      </c>
      <c r="AN40" s="5">
        <v>4.84</v>
      </c>
      <c r="AO40" s="5">
        <v>19.100000000000001</v>
      </c>
      <c r="AP40" s="5">
        <v>3.47</v>
      </c>
      <c r="AQ40" s="5">
        <v>0.92</v>
      </c>
      <c r="AR40" s="5">
        <v>3.02</v>
      </c>
      <c r="AS40" s="5">
        <v>0.48</v>
      </c>
      <c r="AT40" s="5">
        <v>2.77</v>
      </c>
      <c r="AU40" s="5">
        <v>0.53</v>
      </c>
      <c r="AV40" s="5">
        <v>1.45</v>
      </c>
      <c r="AW40" s="5">
        <v>0.22</v>
      </c>
      <c r="AX40" s="5">
        <v>1.39</v>
      </c>
      <c r="AY40" s="5">
        <v>0.21</v>
      </c>
      <c r="AZ40" s="5">
        <v>2.2999999999999998</v>
      </c>
      <c r="BA40" s="5">
        <v>0.35</v>
      </c>
      <c r="BB40" s="5"/>
      <c r="BC40" s="5">
        <v>2.5</v>
      </c>
      <c r="BD40" s="5">
        <v>3.36</v>
      </c>
      <c r="BE40" s="5">
        <v>1.1200000000000001</v>
      </c>
      <c r="BF40" s="5">
        <v>3.8</v>
      </c>
      <c r="BG40" s="5">
        <v>99.4</v>
      </c>
      <c r="BH40" s="5">
        <v>0.28164850577192801</v>
      </c>
      <c r="BI40" s="5">
        <f t="shared" si="1"/>
        <v>65.04268571428571</v>
      </c>
      <c r="BJ40" s="5">
        <v>14.2083333333333</v>
      </c>
      <c r="BK40" s="5">
        <f t="shared" si="2"/>
        <v>10.062835807303525</v>
      </c>
      <c r="BL40" s="5">
        <v>1.7973358539445801</v>
      </c>
      <c r="BM40" s="98">
        <v>1262.124</v>
      </c>
      <c r="BN40" s="5">
        <v>0.78138982000000001</v>
      </c>
      <c r="BO40" s="6">
        <v>0.50499999999989098</v>
      </c>
      <c r="BP40" s="6">
        <f>(BN40-1)*0.4+BO40</f>
        <v>0.417555927999891</v>
      </c>
      <c r="BQ40" s="6"/>
      <c r="BR40" s="6"/>
      <c r="BS40" s="2" t="s">
        <v>295</v>
      </c>
      <c r="BT40" s="52" t="s">
        <v>358</v>
      </c>
    </row>
    <row r="41" spans="1:72">
      <c r="A41" s="2" t="s">
        <v>24</v>
      </c>
      <c r="B41" s="2" t="s">
        <v>366</v>
      </c>
      <c r="C41" s="2" t="s">
        <v>461</v>
      </c>
      <c r="D41" s="2" t="s">
        <v>450</v>
      </c>
      <c r="E41" s="99">
        <v>2606</v>
      </c>
      <c r="F41" s="5">
        <v>49.352445457690301</v>
      </c>
      <c r="G41" s="5">
        <v>0.24904989143380701</v>
      </c>
      <c r="H41" s="5">
        <v>15.967715938555401</v>
      </c>
      <c r="I41" s="5">
        <v>8.2494633593352606</v>
      </c>
      <c r="J41" s="5">
        <v>0.15817848605235099</v>
      </c>
      <c r="K41" s="5">
        <v>9.3676621640252904</v>
      </c>
      <c r="L41" s="5">
        <v>12.050455016521299</v>
      </c>
      <c r="M41" s="5">
        <v>1.0352043304378999</v>
      </c>
      <c r="N41" s="5">
        <v>1.63041677389988</v>
      </c>
      <c r="O41" s="5">
        <v>0.05</v>
      </c>
      <c r="P41" s="5">
        <v>1.8411046627976499</v>
      </c>
      <c r="Q41" s="5">
        <v>99.902962657000003</v>
      </c>
      <c r="R41" s="5">
        <v>100</v>
      </c>
      <c r="S41" s="5">
        <f t="shared" si="3"/>
        <v>1492.6778894373781</v>
      </c>
      <c r="T41" s="5">
        <v>19.91</v>
      </c>
      <c r="U41" s="5"/>
      <c r="V41" s="5">
        <v>34.840000000000003</v>
      </c>
      <c r="W41" s="5">
        <v>141.08000000000001</v>
      </c>
      <c r="X41" s="5">
        <v>157.02000000000001</v>
      </c>
      <c r="Y41" s="5">
        <v>39.68</v>
      </c>
      <c r="Z41" s="5">
        <v>114.44</v>
      </c>
      <c r="AA41" s="5">
        <v>26.24</v>
      </c>
      <c r="AB41" s="5">
        <v>64.34</v>
      </c>
      <c r="AC41" s="5">
        <v>12.837999999999999</v>
      </c>
      <c r="AD41" s="5">
        <v>60.34</v>
      </c>
      <c r="AE41" s="5">
        <v>222.2</v>
      </c>
      <c r="AF41" s="5">
        <v>5.3780000000000001</v>
      </c>
      <c r="AG41" s="5">
        <v>7.6420000000000003</v>
      </c>
      <c r="AH41" s="5">
        <v>0.35399999999999998</v>
      </c>
      <c r="AI41" s="5"/>
      <c r="AJ41" s="5">
        <v>0.91</v>
      </c>
      <c r="AK41" s="5">
        <v>125.64</v>
      </c>
      <c r="AL41" s="5">
        <v>1.048</v>
      </c>
      <c r="AM41" s="5">
        <v>2.444</v>
      </c>
      <c r="AN41" s="5">
        <v>0.40200000000000002</v>
      </c>
      <c r="AO41" s="5">
        <v>2.19</v>
      </c>
      <c r="AP41" s="5">
        <v>0.71599999999999997</v>
      </c>
      <c r="AQ41" s="5">
        <v>0.38400000000000001</v>
      </c>
      <c r="AR41" s="5">
        <v>0.89800000000000002</v>
      </c>
      <c r="AS41" s="5">
        <v>0.156</v>
      </c>
      <c r="AT41" s="5">
        <v>1.1040000000000001</v>
      </c>
      <c r="AU41" s="5">
        <v>0.22</v>
      </c>
      <c r="AV41" s="5">
        <v>0.66200000000000003</v>
      </c>
      <c r="AW41" s="5">
        <v>9.1999999999999998E-2</v>
      </c>
      <c r="AX41" s="5">
        <v>0.65200000000000002</v>
      </c>
      <c r="AY41" s="5">
        <v>0.09</v>
      </c>
      <c r="AZ41" s="5">
        <v>0.28399999999999997</v>
      </c>
      <c r="BA41" s="5">
        <v>0.04</v>
      </c>
      <c r="BB41" s="5">
        <v>0</v>
      </c>
      <c r="BC41" s="5">
        <v>4.6879999999999997</v>
      </c>
      <c r="BD41" s="5">
        <v>0.03</v>
      </c>
      <c r="BE41" s="5">
        <v>7.5999999999999998E-2</v>
      </c>
      <c r="BF41" s="5">
        <v>1.716</v>
      </c>
      <c r="BG41" s="5">
        <v>11.058000000000003</v>
      </c>
      <c r="BH41" s="5">
        <v>0.32546866802993479</v>
      </c>
      <c r="BI41" s="5">
        <v>46.927160045476633</v>
      </c>
      <c r="BJ41" s="5">
        <v>64.11452679873716</v>
      </c>
      <c r="BK41" s="5">
        <v>1.1529600579845201</v>
      </c>
      <c r="BL41" s="5">
        <v>1.1399999999999999</v>
      </c>
      <c r="BM41" s="98">
        <v>1224</v>
      </c>
      <c r="BN41" s="5">
        <v>1.04</v>
      </c>
      <c r="BO41" s="6"/>
      <c r="BP41" s="6"/>
      <c r="BQ41" s="6">
        <v>-0.25</v>
      </c>
      <c r="BR41" s="6">
        <f>(BP41-1)*0.4+BQ41</f>
        <v>-0.65</v>
      </c>
      <c r="BS41" s="2" t="s">
        <v>452</v>
      </c>
      <c r="BT41" s="52" t="s">
        <v>451</v>
      </c>
    </row>
    <row r="42" spans="1:72" s="131" customFormat="1">
      <c r="A42" s="125" t="s">
        <v>25</v>
      </c>
      <c r="B42" s="125" t="s">
        <v>366</v>
      </c>
      <c r="C42" s="125" t="s">
        <v>461</v>
      </c>
      <c r="D42" s="125" t="s">
        <v>450</v>
      </c>
      <c r="E42" s="126">
        <v>2606</v>
      </c>
      <c r="F42" s="127">
        <v>48.95</v>
      </c>
      <c r="G42" s="127">
        <v>0.249</v>
      </c>
      <c r="H42" s="127">
        <v>17.59</v>
      </c>
      <c r="I42" s="127">
        <v>6.86</v>
      </c>
      <c r="J42" s="127">
        <v>0.127</v>
      </c>
      <c r="K42" s="127">
        <v>8.4499999999999993</v>
      </c>
      <c r="L42" s="127">
        <v>12.3</v>
      </c>
      <c r="M42" s="127">
        <v>2.06</v>
      </c>
      <c r="N42" s="127">
        <v>1.1000000000000001</v>
      </c>
      <c r="O42" s="127">
        <v>0.05</v>
      </c>
      <c r="P42" s="127">
        <v>2.14</v>
      </c>
      <c r="Q42" s="127">
        <v>99.83</v>
      </c>
      <c r="R42" s="127">
        <v>100</v>
      </c>
      <c r="S42" s="127">
        <f t="shared" si="3"/>
        <v>1492.3788656566921</v>
      </c>
      <c r="T42" s="127">
        <v>8.8439999999999994</v>
      </c>
      <c r="U42" s="127"/>
      <c r="V42" s="127">
        <v>32</v>
      </c>
      <c r="W42" s="127">
        <v>118.3</v>
      </c>
      <c r="X42" s="127">
        <v>486.4</v>
      </c>
      <c r="Y42" s="127">
        <v>33.6</v>
      </c>
      <c r="Z42" s="127">
        <v>185.96</v>
      </c>
      <c r="AA42" s="127">
        <v>16.207999999999998</v>
      </c>
      <c r="AB42" s="127">
        <v>48.3</v>
      </c>
      <c r="AC42" s="127">
        <v>13.32</v>
      </c>
      <c r="AD42" s="127">
        <v>26.82</v>
      </c>
      <c r="AE42" s="127">
        <v>217.4</v>
      </c>
      <c r="AF42" s="127">
        <v>9.7620000000000005</v>
      </c>
      <c r="AG42" s="127">
        <v>22.7</v>
      </c>
      <c r="AH42" s="127">
        <v>0.874</v>
      </c>
      <c r="AI42" s="127"/>
      <c r="AJ42" s="127">
        <v>0.99199999999999999</v>
      </c>
      <c r="AK42" s="127">
        <v>128.1</v>
      </c>
      <c r="AL42" s="127">
        <v>3.3660000000000001</v>
      </c>
      <c r="AM42" s="127">
        <v>6.2060000000000004</v>
      </c>
      <c r="AN42" s="127">
        <v>1.0780000000000001</v>
      </c>
      <c r="AO42" s="127">
        <v>5.6840000000000002</v>
      </c>
      <c r="AP42" s="127">
        <v>1.482</v>
      </c>
      <c r="AQ42" s="127">
        <v>0.44600000000000001</v>
      </c>
      <c r="AR42" s="127">
        <v>1.6679999999999999</v>
      </c>
      <c r="AS42" s="127">
        <v>0.24399999999999999</v>
      </c>
      <c r="AT42" s="127">
        <v>1.9259999999999999</v>
      </c>
      <c r="AU42" s="127">
        <v>0.37</v>
      </c>
      <c r="AV42" s="127">
        <v>0.98599999999999999</v>
      </c>
      <c r="AW42" s="127">
        <v>0.14000000000000001</v>
      </c>
      <c r="AX42" s="127">
        <v>1.054</v>
      </c>
      <c r="AY42" s="127">
        <v>0.13400000000000001</v>
      </c>
      <c r="AZ42" s="127">
        <v>0.72</v>
      </c>
      <c r="BA42" s="127">
        <v>7.1999999999999995E-2</v>
      </c>
      <c r="BB42" s="127">
        <v>0.96799999999999997</v>
      </c>
      <c r="BC42" s="127">
        <v>4.1580000000000004</v>
      </c>
      <c r="BD42" s="127">
        <v>0.22800000000000001</v>
      </c>
      <c r="BE42" s="127">
        <v>0.06</v>
      </c>
      <c r="BF42" s="127">
        <v>2.6839999999999997</v>
      </c>
      <c r="BG42" s="127">
        <v>24.783999999999999</v>
      </c>
      <c r="BH42" s="127">
        <v>0.25018687827036973</v>
      </c>
      <c r="BI42" s="127">
        <v>48.603370078740163</v>
      </c>
      <c r="BJ42" s="127">
        <v>70.642570281124492</v>
      </c>
      <c r="BK42" s="127">
        <v>2.2907309105757454</v>
      </c>
      <c r="BL42" s="127">
        <v>1.31</v>
      </c>
      <c r="BM42" s="128"/>
      <c r="BN42" s="127"/>
      <c r="BO42" s="129"/>
      <c r="BP42" s="129"/>
      <c r="BQ42" s="129"/>
      <c r="BR42" s="129"/>
      <c r="BS42" s="125" t="s">
        <v>452</v>
      </c>
      <c r="BT42" s="130" t="s">
        <v>451</v>
      </c>
    </row>
    <row r="43" spans="1:72">
      <c r="A43" s="2" t="s">
        <v>26</v>
      </c>
      <c r="B43" s="2" t="s">
        <v>366</v>
      </c>
      <c r="C43" s="2" t="s">
        <v>461</v>
      </c>
      <c r="D43" s="2" t="s">
        <v>450</v>
      </c>
      <c r="E43" s="99">
        <v>2606</v>
      </c>
      <c r="F43" s="5">
        <v>48.63</v>
      </c>
      <c r="G43" s="5">
        <v>0.47</v>
      </c>
      <c r="H43" s="5">
        <v>14.51</v>
      </c>
      <c r="I43" s="5">
        <v>9.17</v>
      </c>
      <c r="J43" s="5">
        <v>0.13</v>
      </c>
      <c r="K43" s="5">
        <v>10.33</v>
      </c>
      <c r="L43" s="5">
        <v>10.31</v>
      </c>
      <c r="M43" s="5">
        <v>2.5099999999999998</v>
      </c>
      <c r="N43" s="5">
        <v>1.65</v>
      </c>
      <c r="O43" s="5">
        <v>0.02</v>
      </c>
      <c r="P43" s="5">
        <v>2.0699999999999998</v>
      </c>
      <c r="Q43" s="5">
        <v>99.79</v>
      </c>
      <c r="R43" s="5">
        <v>100</v>
      </c>
      <c r="S43" s="5">
        <f t="shared" si="3"/>
        <v>2816.9400275447601</v>
      </c>
      <c r="T43" s="5">
        <v>16.82</v>
      </c>
      <c r="U43" s="5"/>
      <c r="V43" s="5">
        <v>32.08</v>
      </c>
      <c r="W43" s="5">
        <v>144.44</v>
      </c>
      <c r="X43" s="5">
        <v>809.2</v>
      </c>
      <c r="Y43" s="5">
        <v>42.86</v>
      </c>
      <c r="Z43" s="5">
        <v>202</v>
      </c>
      <c r="AA43" s="5">
        <v>3.07</v>
      </c>
      <c r="AB43" s="5">
        <v>86.86</v>
      </c>
      <c r="AC43" s="5">
        <v>14.62</v>
      </c>
      <c r="AD43" s="5">
        <v>30.74</v>
      </c>
      <c r="AE43" s="5">
        <v>333.4</v>
      </c>
      <c r="AF43" s="5">
        <v>8.5500000000000007</v>
      </c>
      <c r="AG43" s="5">
        <v>25.98</v>
      </c>
      <c r="AH43" s="5">
        <v>2.35</v>
      </c>
      <c r="AI43" s="5"/>
      <c r="AJ43" s="5">
        <v>0.67</v>
      </c>
      <c r="AK43" s="5">
        <v>257.39999999999998</v>
      </c>
      <c r="AL43" s="5">
        <v>3.94</v>
      </c>
      <c r="AM43" s="5">
        <v>7.37</v>
      </c>
      <c r="AN43" s="5">
        <v>1.1000000000000001</v>
      </c>
      <c r="AO43" s="5">
        <v>5.54</v>
      </c>
      <c r="AP43" s="5">
        <v>1.46</v>
      </c>
      <c r="AQ43" s="5">
        <v>0.55000000000000004</v>
      </c>
      <c r="AR43" s="5">
        <v>1.67</v>
      </c>
      <c r="AS43" s="5">
        <v>0.22</v>
      </c>
      <c r="AT43" s="5">
        <v>1.59</v>
      </c>
      <c r="AU43" s="5">
        <v>0.31</v>
      </c>
      <c r="AV43" s="5">
        <v>0.82</v>
      </c>
      <c r="AW43" s="5">
        <v>0.12</v>
      </c>
      <c r="AX43" s="5">
        <v>0.89</v>
      </c>
      <c r="AY43" s="5">
        <v>0.11</v>
      </c>
      <c r="AZ43" s="5">
        <v>0.8</v>
      </c>
      <c r="BA43" s="5">
        <v>0.19</v>
      </c>
      <c r="BB43" s="5">
        <v>0.12</v>
      </c>
      <c r="BC43" s="5">
        <v>2.78</v>
      </c>
      <c r="BD43" s="5">
        <v>0.43</v>
      </c>
      <c r="BE43" s="5">
        <v>0.33</v>
      </c>
      <c r="BF43" s="5">
        <v>2.25</v>
      </c>
      <c r="BG43" s="5">
        <v>25.69</v>
      </c>
      <c r="BH43" s="5">
        <v>0.57469689095193699</v>
      </c>
      <c r="BI43" s="5">
        <v>63.470507692307685</v>
      </c>
      <c r="BJ43" s="5">
        <v>30.872340425531917</v>
      </c>
      <c r="BK43" s="5">
        <v>3.1754610534300478</v>
      </c>
      <c r="BL43" s="5">
        <v>1.55</v>
      </c>
      <c r="BM43" s="98">
        <v>1259</v>
      </c>
      <c r="BN43" s="5">
        <v>1.44</v>
      </c>
      <c r="BO43" s="6">
        <v>-0.35</v>
      </c>
      <c r="BP43" s="6">
        <v>-0.17</v>
      </c>
      <c r="BQ43" s="6">
        <v>-0.46</v>
      </c>
      <c r="BR43" s="6">
        <v>-0.28000000000000003</v>
      </c>
      <c r="BS43" s="2" t="s">
        <v>452</v>
      </c>
      <c r="BT43" s="52" t="s">
        <v>451</v>
      </c>
    </row>
    <row r="44" spans="1:72">
      <c r="A44" s="2" t="s">
        <v>27</v>
      </c>
      <c r="B44" s="2" t="s">
        <v>366</v>
      </c>
      <c r="C44" s="2" t="s">
        <v>461</v>
      </c>
      <c r="D44" s="2" t="s">
        <v>450</v>
      </c>
      <c r="E44" s="99">
        <v>2606</v>
      </c>
      <c r="F44" s="5">
        <v>48.87</v>
      </c>
      <c r="G44" s="5">
        <v>0.47</v>
      </c>
      <c r="H44" s="5">
        <v>15.93</v>
      </c>
      <c r="I44" s="5">
        <v>8.5399999999999991</v>
      </c>
      <c r="J44" s="5">
        <v>0.13</v>
      </c>
      <c r="K44" s="5">
        <v>9.0299999999999994</v>
      </c>
      <c r="L44" s="5">
        <v>10.69</v>
      </c>
      <c r="M44" s="5">
        <v>2.2400000000000002</v>
      </c>
      <c r="N44" s="5">
        <v>1.56</v>
      </c>
      <c r="O44" s="5">
        <v>0.04</v>
      </c>
      <c r="P44" s="5">
        <v>2.39</v>
      </c>
      <c r="Q44" s="5">
        <v>99.89</v>
      </c>
      <c r="R44" s="5">
        <v>100</v>
      </c>
      <c r="S44" s="5">
        <f t="shared" si="3"/>
        <v>2816.9400275447601</v>
      </c>
      <c r="T44" s="5">
        <v>18.920000000000002</v>
      </c>
      <c r="U44" s="5"/>
      <c r="V44" s="5">
        <v>29.77</v>
      </c>
      <c r="W44" s="5">
        <v>138.03</v>
      </c>
      <c r="X44" s="5">
        <v>643.73</v>
      </c>
      <c r="Y44" s="5">
        <v>39.64</v>
      </c>
      <c r="Z44" s="5">
        <v>194.76</v>
      </c>
      <c r="AA44" s="5">
        <v>3.86</v>
      </c>
      <c r="AB44" s="5">
        <v>91.82</v>
      </c>
      <c r="AC44" s="5">
        <v>14.39</v>
      </c>
      <c r="AD44" s="5">
        <v>65.36</v>
      </c>
      <c r="AE44" s="5">
        <v>602.53</v>
      </c>
      <c r="AF44" s="5">
        <v>7.65</v>
      </c>
      <c r="AG44" s="5">
        <v>22.56</v>
      </c>
      <c r="AH44" s="5">
        <v>2.2000000000000002</v>
      </c>
      <c r="AI44" s="5"/>
      <c r="AJ44" s="5">
        <v>0.75</v>
      </c>
      <c r="AK44" s="5">
        <v>256.41000000000003</v>
      </c>
      <c r="AL44" s="5">
        <v>3.4</v>
      </c>
      <c r="AM44" s="5">
        <v>6.5</v>
      </c>
      <c r="AN44" s="5">
        <v>1.0900000000000001</v>
      </c>
      <c r="AO44" s="5">
        <v>4.32</v>
      </c>
      <c r="AP44" s="5">
        <v>1.36</v>
      </c>
      <c r="AQ44" s="5">
        <v>0.51</v>
      </c>
      <c r="AR44" s="5">
        <v>1.51</v>
      </c>
      <c r="AS44" s="5">
        <v>0.25</v>
      </c>
      <c r="AT44" s="5">
        <v>1.48</v>
      </c>
      <c r="AU44" s="5">
        <v>0.3</v>
      </c>
      <c r="AV44" s="5">
        <v>0.87</v>
      </c>
      <c r="AW44" s="5">
        <v>0.13</v>
      </c>
      <c r="AX44" s="5">
        <v>0.85</v>
      </c>
      <c r="AY44" s="5">
        <v>0.12</v>
      </c>
      <c r="AZ44" s="5">
        <v>0.8</v>
      </c>
      <c r="BA44" s="5">
        <v>0.14000000000000001</v>
      </c>
      <c r="BB44" s="5" t="s">
        <v>462</v>
      </c>
      <c r="BC44" s="5">
        <v>3.88</v>
      </c>
      <c r="BD44" s="5">
        <v>0.84</v>
      </c>
      <c r="BE44" s="5">
        <v>0.65</v>
      </c>
      <c r="BF44" s="5">
        <v>2.27</v>
      </c>
      <c r="BG44" s="5">
        <v>22.690000000000008</v>
      </c>
      <c r="BH44" s="5">
        <v>0.6234634106096858</v>
      </c>
      <c r="BI44" s="5">
        <v>59.109938461538455</v>
      </c>
      <c r="BJ44" s="5">
        <v>33.893617021276597</v>
      </c>
      <c r="BK44" s="5">
        <v>2.869198312236287</v>
      </c>
      <c r="BL44" s="5">
        <v>1.47</v>
      </c>
      <c r="BM44" s="98">
        <v>1239</v>
      </c>
      <c r="BN44" s="5">
        <v>1.27</v>
      </c>
      <c r="BO44" s="6">
        <v>-0.33</v>
      </c>
      <c r="BP44" s="6">
        <v>-0.22</v>
      </c>
      <c r="BQ44" s="6">
        <v>-0.41</v>
      </c>
      <c r="BR44" s="6">
        <v>-0.3</v>
      </c>
      <c r="BS44" s="2" t="s">
        <v>452</v>
      </c>
      <c r="BT44" s="52" t="s">
        <v>451</v>
      </c>
    </row>
    <row r="45" spans="1:72">
      <c r="A45" s="2" t="s">
        <v>456</v>
      </c>
      <c r="B45" s="2" t="s">
        <v>366</v>
      </c>
      <c r="C45" s="2" t="s">
        <v>460</v>
      </c>
      <c r="D45" s="2" t="s">
        <v>458</v>
      </c>
      <c r="E45" s="99">
        <v>2562</v>
      </c>
      <c r="F45" s="5">
        <v>54.6580787210777</v>
      </c>
      <c r="G45" s="5">
        <v>0.37200652891382102</v>
      </c>
      <c r="H45" s="5">
        <v>10.894956393038701</v>
      </c>
      <c r="I45" s="5">
        <v>9.8303442829774692</v>
      </c>
      <c r="J45" s="5">
        <v>0.162310394465772</v>
      </c>
      <c r="K45" s="5">
        <v>10.8613368306877</v>
      </c>
      <c r="L45" s="5">
        <v>10.1122245738995</v>
      </c>
      <c r="M45" s="5">
        <v>2.1632006562902899</v>
      </c>
      <c r="N45" s="5">
        <v>0.91981252552923098</v>
      </c>
      <c r="O45" s="5">
        <v>2.5729093119774001E-2</v>
      </c>
      <c r="P45" s="5">
        <v>1.36710896662646</v>
      </c>
      <c r="Q45" s="5">
        <v>99.999999999999901</v>
      </c>
      <c r="R45" s="5">
        <v>72.027340187892094</v>
      </c>
      <c r="S45" s="5">
        <f t="shared" si="3"/>
        <v>2229.6171953304884</v>
      </c>
      <c r="T45" s="5"/>
      <c r="U45" s="5"/>
      <c r="V45" s="5">
        <v>42.454284937207298</v>
      </c>
      <c r="W45" s="5">
        <v>210.52901466027399</v>
      </c>
      <c r="X45" s="5">
        <v>908.80832880062098</v>
      </c>
      <c r="Y45" s="5">
        <v>50.9255225966943</v>
      </c>
      <c r="Z45" s="5">
        <v>139.57084353022</v>
      </c>
      <c r="AA45" s="5"/>
      <c r="AB45" s="5"/>
      <c r="AC45" s="5"/>
      <c r="AD45" s="5">
        <v>28.759677899851301</v>
      </c>
      <c r="AE45" s="5">
        <v>134.586756674002</v>
      </c>
      <c r="AF45" s="5">
        <v>9.6424870610323907</v>
      </c>
      <c r="AG45" s="5">
        <v>38.6181274821991</v>
      </c>
      <c r="AH45" s="5">
        <v>1.3563339272286601</v>
      </c>
      <c r="AI45" s="5"/>
      <c r="AJ45" s="5"/>
      <c r="AK45" s="5">
        <v>130.273512831554</v>
      </c>
      <c r="AL45" s="5">
        <v>5.3014020488591296</v>
      </c>
      <c r="AM45" s="5">
        <v>10.9986521443504</v>
      </c>
      <c r="AN45" s="5">
        <v>1.27818944335208</v>
      </c>
      <c r="AO45" s="5">
        <v>5.4214073242931002</v>
      </c>
      <c r="AP45" s="5">
        <v>1.3053758513704801</v>
      </c>
      <c r="AQ45" s="5">
        <v>0.50503432139138105</v>
      </c>
      <c r="AR45" s="5">
        <v>1.5883347350411801</v>
      </c>
      <c r="AS45" s="5">
        <v>0.29846928132186101</v>
      </c>
      <c r="AT45" s="5">
        <v>1.99512272835135</v>
      </c>
      <c r="AU45" s="5">
        <v>0.42209313559317402</v>
      </c>
      <c r="AV45" s="5">
        <v>1.2968111875063399</v>
      </c>
      <c r="AW45" s="5">
        <v>0.19274077999464501</v>
      </c>
      <c r="AX45" s="5">
        <v>1.30539134139728</v>
      </c>
      <c r="AY45" s="5">
        <v>0.20100418581188101</v>
      </c>
      <c r="AZ45" s="5">
        <v>1.1216719460123199</v>
      </c>
      <c r="BA45" s="5"/>
      <c r="BB45" s="5"/>
      <c r="BC45" s="5"/>
      <c r="BD45" s="5">
        <v>1.28060637253989</v>
      </c>
      <c r="BE45" s="5">
        <v>0.239478883496415</v>
      </c>
      <c r="BF45" s="5">
        <f>SUM(AU45:AY45)</f>
        <v>3.4180406303033202</v>
      </c>
      <c r="BG45" s="5">
        <f>SUM(AL45:AY45)</f>
        <v>32.110028508634279</v>
      </c>
      <c r="BH45" s="5">
        <v>0.24651485267200601</v>
      </c>
      <c r="BI45" s="5">
        <f t="shared" ref="BI45:BI69" si="4">I45*0.8998/J45</f>
        <v>54.496471497938678</v>
      </c>
      <c r="BJ45" s="5">
        <f>H45/G45</f>
        <v>29.287003173975542</v>
      </c>
      <c r="BK45" s="5">
        <v>2.9130677768229898</v>
      </c>
      <c r="BL45" s="5">
        <v>1.0065570637972201</v>
      </c>
      <c r="BM45" s="98">
        <v>1290.8620000000001</v>
      </c>
      <c r="BN45" s="5">
        <v>0.78693955000000004</v>
      </c>
      <c r="BO45" s="6"/>
      <c r="BP45" s="6"/>
      <c r="BQ45" s="6"/>
      <c r="BR45" s="6"/>
      <c r="BS45" s="2" t="s">
        <v>459</v>
      </c>
      <c r="BT45" s="52" t="s">
        <v>463</v>
      </c>
    </row>
    <row r="46" spans="1:72">
      <c r="A46" s="2" t="s">
        <v>457</v>
      </c>
      <c r="B46" s="2" t="s">
        <v>366</v>
      </c>
      <c r="C46" s="2" t="s">
        <v>460</v>
      </c>
      <c r="D46" s="2" t="s">
        <v>458</v>
      </c>
      <c r="E46" s="99">
        <v>2562</v>
      </c>
      <c r="F46" s="5">
        <v>55.1599610568977</v>
      </c>
      <c r="G46" s="5">
        <v>0.401677929017345</v>
      </c>
      <c r="H46" s="5">
        <v>11.502932053343001</v>
      </c>
      <c r="I46" s="5">
        <v>9.9341960369424296</v>
      </c>
      <c r="J46" s="5">
        <v>0.17495579793222801</v>
      </c>
      <c r="K46" s="5">
        <v>12.3771964671279</v>
      </c>
      <c r="L46" s="5">
        <v>7.1290371050372903</v>
      </c>
      <c r="M46" s="5">
        <v>2.22986310223388</v>
      </c>
      <c r="N46" s="5">
        <v>1.0400607611194701</v>
      </c>
      <c r="O46" s="5">
        <v>5.0119690348820703E-2</v>
      </c>
      <c r="P46" s="5">
        <v>2.3860000000000001</v>
      </c>
      <c r="Q46" s="5">
        <v>100</v>
      </c>
      <c r="R46" s="5">
        <v>74.382701498045193</v>
      </c>
      <c r="S46" s="5">
        <f t="shared" si="3"/>
        <v>2407.4524179366854</v>
      </c>
      <c r="T46" s="5"/>
      <c r="U46" s="5"/>
      <c r="V46" s="5">
        <v>35.584732937825898</v>
      </c>
      <c r="W46" s="5">
        <v>181.701731134445</v>
      </c>
      <c r="X46" s="5">
        <v>1273.36772337292</v>
      </c>
      <c r="Y46" s="5">
        <v>50.1489130998118</v>
      </c>
      <c r="Z46" s="5">
        <v>205.749495264556</v>
      </c>
      <c r="AA46" s="5"/>
      <c r="AB46" s="5"/>
      <c r="AC46" s="5"/>
      <c r="AD46" s="5">
        <v>50.813120800868703</v>
      </c>
      <c r="AE46" s="5">
        <v>78.885556333598501</v>
      </c>
      <c r="AF46" s="5">
        <v>12.213382358310399</v>
      </c>
      <c r="AG46" s="5">
        <v>38.952113595436003</v>
      </c>
      <c r="AH46" s="5">
        <v>1.3299131340585399</v>
      </c>
      <c r="AI46" s="5"/>
      <c r="AJ46" s="5"/>
      <c r="AK46" s="5">
        <v>224.89959717826699</v>
      </c>
      <c r="AL46" s="5">
        <v>5.3045357289468198</v>
      </c>
      <c r="AM46" s="5">
        <v>13</v>
      </c>
      <c r="AN46" s="5">
        <v>1.4966191801312101</v>
      </c>
      <c r="AO46" s="5">
        <v>6.2049352795937498</v>
      </c>
      <c r="AP46" s="5">
        <v>1.5568138668648299</v>
      </c>
      <c r="AQ46" s="5">
        <v>0.511529081649719</v>
      </c>
      <c r="AR46" s="5">
        <v>1.7440059694177801</v>
      </c>
      <c r="AS46" s="5">
        <v>0.32158070921863102</v>
      </c>
      <c r="AT46" s="5">
        <v>2.2271752343823099</v>
      </c>
      <c r="AU46" s="5">
        <v>0.50401668406760003</v>
      </c>
      <c r="AV46" s="5">
        <v>1.4536636468300701</v>
      </c>
      <c r="AW46" s="5">
        <v>0.22447627982478599</v>
      </c>
      <c r="AX46" s="5">
        <v>1.55426207225249</v>
      </c>
      <c r="AY46" s="5">
        <v>0.23297255434672701</v>
      </c>
      <c r="AZ46" s="5">
        <v>1.0690004514351299</v>
      </c>
      <c r="BA46" s="5"/>
      <c r="BB46" s="5"/>
      <c r="BC46" s="5"/>
      <c r="BD46" s="5">
        <v>2.25710955779138</v>
      </c>
      <c r="BE46" s="5">
        <v>0.31039861001691399</v>
      </c>
      <c r="BF46" s="5">
        <f>SUM(AU46:AY46)</f>
        <v>3.9693912373216733</v>
      </c>
      <c r="BG46" s="5">
        <f>SUM(AL46:AY46)</f>
        <v>36.336586287526728</v>
      </c>
      <c r="BH46" s="5">
        <v>0.24157005785635799</v>
      </c>
      <c r="BI46" s="5">
        <f t="shared" si="4"/>
        <v>51.091702588235371</v>
      </c>
      <c r="BJ46" s="5">
        <f>H46/G46</f>
        <v>28.637202152190664</v>
      </c>
      <c r="BK46" s="5">
        <v>2.4480692851615302</v>
      </c>
      <c r="BL46" s="5">
        <v>0.92824114078836595</v>
      </c>
      <c r="BM46" s="98">
        <v>1285.2249999999999</v>
      </c>
      <c r="BN46" s="5">
        <v>0.74302900000000005</v>
      </c>
      <c r="BO46" s="6">
        <v>0.11</v>
      </c>
      <c r="BP46" s="6">
        <v>0.01</v>
      </c>
      <c r="BQ46" s="6"/>
      <c r="BR46" s="6"/>
      <c r="BS46" s="2" t="s">
        <v>459</v>
      </c>
      <c r="BT46" s="52" t="s">
        <v>463</v>
      </c>
    </row>
    <row r="47" spans="1:72">
      <c r="A47" s="2" t="s">
        <v>293</v>
      </c>
      <c r="B47" s="2" t="s">
        <v>366</v>
      </c>
      <c r="C47" s="2" t="s">
        <v>351</v>
      </c>
      <c r="D47" s="2" t="s">
        <v>454</v>
      </c>
      <c r="E47" s="99">
        <v>2530</v>
      </c>
      <c r="F47" s="5">
        <v>50.263193589192902</v>
      </c>
      <c r="G47" s="5">
        <v>0.42817181324681303</v>
      </c>
      <c r="H47" s="5">
        <v>16.072107819191299</v>
      </c>
      <c r="I47" s="5">
        <v>8.4652208997972291</v>
      </c>
      <c r="J47" s="5">
        <v>0.18797786923030799</v>
      </c>
      <c r="K47" s="5">
        <v>8.8349598538244791</v>
      </c>
      <c r="L47" s="5">
        <v>13.001802621763</v>
      </c>
      <c r="M47" s="5">
        <v>2.0573133465761502</v>
      </c>
      <c r="N47" s="5">
        <v>0.65792254230607805</v>
      </c>
      <c r="O47" s="5">
        <v>3.1329644871718E-2</v>
      </c>
      <c r="P47" s="5"/>
      <c r="Q47" s="5">
        <f t="shared" ref="Q47:Q69" si="5">SUM(F47:G47,H47,I47,J47,K47,L47,M47,N47,O47)</f>
        <v>99.999999999999986</v>
      </c>
      <c r="R47" s="5">
        <f t="shared" ref="R47:R69" si="6">(K47/40.31)/(K47/40.31+I47*2/159.7)*100</f>
        <v>67.399297293385843</v>
      </c>
      <c r="S47" s="5">
        <f t="shared" si="3"/>
        <v>2566.2432327688666</v>
      </c>
      <c r="T47" s="5"/>
      <c r="U47" s="5"/>
      <c r="V47" s="5"/>
      <c r="W47" s="5">
        <v>180</v>
      </c>
      <c r="X47" s="5">
        <v>239.9</v>
      </c>
      <c r="Y47" s="5"/>
      <c r="Z47" s="5">
        <v>220.6</v>
      </c>
      <c r="AA47" s="5"/>
      <c r="AB47" s="5"/>
      <c r="AC47" s="5"/>
      <c r="AD47" s="5">
        <v>99.8</v>
      </c>
      <c r="AE47" s="5">
        <v>162</v>
      </c>
      <c r="AF47" s="5"/>
      <c r="AG47" s="5">
        <v>35</v>
      </c>
      <c r="AH47" s="5">
        <v>0.6</v>
      </c>
      <c r="AI47" s="5"/>
      <c r="AJ47" s="5"/>
      <c r="AK47" s="5">
        <v>152</v>
      </c>
      <c r="AL47" s="5">
        <v>2.2999999999999998</v>
      </c>
      <c r="AM47" s="5">
        <v>5.5</v>
      </c>
      <c r="AN47" s="5">
        <v>0.82</v>
      </c>
      <c r="AO47" s="5">
        <v>4.03</v>
      </c>
      <c r="AP47" s="5">
        <v>1.3</v>
      </c>
      <c r="AQ47" s="5">
        <v>0.6</v>
      </c>
      <c r="AR47" s="5">
        <v>1.73</v>
      </c>
      <c r="AS47" s="5">
        <v>0.38</v>
      </c>
      <c r="AT47" s="5">
        <v>2.2799999999999998</v>
      </c>
      <c r="AU47" s="5">
        <v>0.47</v>
      </c>
      <c r="AV47" s="5">
        <v>1.43</v>
      </c>
      <c r="AW47" s="5">
        <v>0.25</v>
      </c>
      <c r="AX47" s="5">
        <v>1.54</v>
      </c>
      <c r="AY47" s="5">
        <v>0.24</v>
      </c>
      <c r="AZ47" s="5">
        <v>1.83</v>
      </c>
      <c r="BA47" s="5">
        <v>0.22</v>
      </c>
      <c r="BB47" s="5"/>
      <c r="BC47" s="5"/>
      <c r="BD47" s="5">
        <v>0.64</v>
      </c>
      <c r="BE47" s="5">
        <v>0.19</v>
      </c>
      <c r="BF47" s="5">
        <v>3.93</v>
      </c>
      <c r="BG47" s="5">
        <v>22.87</v>
      </c>
      <c r="BH47" s="5">
        <v>0.25135679004817402</v>
      </c>
      <c r="BI47" s="5">
        <f t="shared" si="4"/>
        <v>40.520758091503275</v>
      </c>
      <c r="BJ47" s="5">
        <v>37.536585365853497</v>
      </c>
      <c r="BK47" s="5">
        <f t="shared" ref="BK47:BK69" si="7">(AL47/0.237)/(AX47/0.17)</f>
        <v>1.0712915776206915</v>
      </c>
      <c r="BL47" s="5">
        <v>0.92931399500742595</v>
      </c>
      <c r="BM47" s="98">
        <v>1232.33</v>
      </c>
      <c r="BN47" s="5">
        <v>1.07268016</v>
      </c>
      <c r="BO47" s="6">
        <v>0.650999999999891</v>
      </c>
      <c r="BP47" s="6">
        <f>(BN47-1)*0.4+BO47</f>
        <v>0.68007206399989095</v>
      </c>
      <c r="BQ47" s="6"/>
      <c r="BR47" s="6"/>
      <c r="BS47" s="2" t="s">
        <v>354</v>
      </c>
      <c r="BT47" s="100" t="s">
        <v>453</v>
      </c>
    </row>
    <row r="48" spans="1:72">
      <c r="A48" s="2" t="s">
        <v>292</v>
      </c>
      <c r="B48" s="2" t="s">
        <v>366</v>
      </c>
      <c r="C48" s="2" t="s">
        <v>351</v>
      </c>
      <c r="D48" s="2" t="s">
        <v>454</v>
      </c>
      <c r="E48" s="99">
        <v>2530</v>
      </c>
      <c r="F48" s="5">
        <v>51.724913553708603</v>
      </c>
      <c r="G48" s="5">
        <v>0.47539381088323601</v>
      </c>
      <c r="H48" s="5">
        <v>15.1815980040755</v>
      </c>
      <c r="I48" s="5">
        <v>9.4581483228690004</v>
      </c>
      <c r="J48" s="5">
        <v>0.206692961253581</v>
      </c>
      <c r="K48" s="5">
        <v>9.9832700285479508</v>
      </c>
      <c r="L48" s="5">
        <v>9.04281705484415</v>
      </c>
      <c r="M48" s="5">
        <v>2.6353352559831502</v>
      </c>
      <c r="N48" s="5">
        <v>1.2608270636468399</v>
      </c>
      <c r="O48" s="5">
        <v>3.1003944188037098E-2</v>
      </c>
      <c r="P48" s="5"/>
      <c r="Q48" s="5">
        <f t="shared" si="5"/>
        <v>100.00000000000004</v>
      </c>
      <c r="R48" s="5">
        <f t="shared" si="6"/>
        <v>67.646739790213033</v>
      </c>
      <c r="S48" s="5">
        <f t="shared" si="3"/>
        <v>2849.2677760085771</v>
      </c>
      <c r="T48" s="5"/>
      <c r="U48" s="5"/>
      <c r="V48" s="5"/>
      <c r="W48" s="5">
        <v>337</v>
      </c>
      <c r="X48" s="5">
        <v>66.8</v>
      </c>
      <c r="Y48" s="5"/>
      <c r="Z48" s="5">
        <v>95.2</v>
      </c>
      <c r="AA48" s="5"/>
      <c r="AB48" s="5"/>
      <c r="AC48" s="5"/>
      <c r="AD48" s="5">
        <v>49.9</v>
      </c>
      <c r="AE48" s="5">
        <v>79</v>
      </c>
      <c r="AF48" s="5"/>
      <c r="AG48" s="5">
        <v>101</v>
      </c>
      <c r="AH48" s="5">
        <v>3.9</v>
      </c>
      <c r="AI48" s="5"/>
      <c r="AJ48" s="5"/>
      <c r="AK48" s="5">
        <v>142</v>
      </c>
      <c r="AL48" s="5">
        <v>5</v>
      </c>
      <c r="AM48" s="5">
        <v>13</v>
      </c>
      <c r="AN48" s="5">
        <v>2.0299999999999998</v>
      </c>
      <c r="AO48" s="5">
        <v>10.119999999999999</v>
      </c>
      <c r="AP48" s="5">
        <v>3.17</v>
      </c>
      <c r="AQ48" s="5">
        <v>0.96</v>
      </c>
      <c r="AR48" s="5">
        <v>4.1900000000000004</v>
      </c>
      <c r="AS48" s="5">
        <v>0.8</v>
      </c>
      <c r="AT48" s="5">
        <v>5.44</v>
      </c>
      <c r="AU48" s="5">
        <v>1.17</v>
      </c>
      <c r="AV48" s="5">
        <v>3.52</v>
      </c>
      <c r="AW48" s="5">
        <v>0.6</v>
      </c>
      <c r="AX48" s="5">
        <v>3.85</v>
      </c>
      <c r="AY48" s="5">
        <v>0.59</v>
      </c>
      <c r="AZ48" s="5">
        <v>1.1599999999999999</v>
      </c>
      <c r="BA48" s="5">
        <v>0.35</v>
      </c>
      <c r="BB48" s="5"/>
      <c r="BC48" s="5"/>
      <c r="BD48" s="5">
        <v>5.32</v>
      </c>
      <c r="BE48" s="5">
        <v>0.45</v>
      </c>
      <c r="BF48" s="5">
        <v>9.73</v>
      </c>
      <c r="BG48" s="5">
        <v>54.44</v>
      </c>
      <c r="BH48" s="5">
        <v>0.75155680224403898</v>
      </c>
      <c r="BI48" s="5">
        <f t="shared" si="4"/>
        <v>41.174318705882307</v>
      </c>
      <c r="BJ48" s="5">
        <v>31.934782608695599</v>
      </c>
      <c r="BK48" s="5">
        <f t="shared" si="7"/>
        <v>0.93155789358321017</v>
      </c>
      <c r="BL48" s="5">
        <v>0.900306506145922</v>
      </c>
      <c r="BM48" s="98">
        <v>1252.5830000000001</v>
      </c>
      <c r="BN48" s="5">
        <v>1.2036768600000001</v>
      </c>
      <c r="BO48" s="6"/>
      <c r="BP48" s="6"/>
      <c r="BQ48" s="6"/>
      <c r="BR48" s="6"/>
      <c r="BS48" s="2" t="s">
        <v>354</v>
      </c>
      <c r="BT48" s="100" t="s">
        <v>453</v>
      </c>
    </row>
    <row r="49" spans="1:72">
      <c r="A49" s="2" t="s">
        <v>294</v>
      </c>
      <c r="B49" s="2" t="s">
        <v>366</v>
      </c>
      <c r="C49" s="2" t="s">
        <v>311</v>
      </c>
      <c r="D49" s="2" t="s">
        <v>468</v>
      </c>
      <c r="E49" s="99">
        <v>2500</v>
      </c>
      <c r="F49" s="5">
        <v>52.749412432125801</v>
      </c>
      <c r="G49" s="5">
        <v>0.41534970418996697</v>
      </c>
      <c r="H49" s="5">
        <v>14.1928033065889</v>
      </c>
      <c r="I49" s="5">
        <v>8.8945619580192901</v>
      </c>
      <c r="J49" s="5">
        <v>0.14182672825998899</v>
      </c>
      <c r="K49" s="5">
        <v>9.8468271334792092</v>
      </c>
      <c r="L49" s="5">
        <v>10.4040035659292</v>
      </c>
      <c r="M49" s="5">
        <v>2.9479698516897601</v>
      </c>
      <c r="N49" s="5">
        <v>0.33430585946997299</v>
      </c>
      <c r="O49" s="5">
        <v>7.2939460247994206E-2</v>
      </c>
      <c r="P49" s="5"/>
      <c r="Q49" s="5">
        <f t="shared" si="5"/>
        <v>100.0000000000001</v>
      </c>
      <c r="R49" s="5">
        <f t="shared" si="6"/>
        <v>68.681254987550261</v>
      </c>
      <c r="S49" s="5">
        <f t="shared" si="3"/>
        <v>2489.3940577906242</v>
      </c>
      <c r="T49" s="5"/>
      <c r="U49" s="5"/>
      <c r="V49" s="5">
        <v>33.955801086977601</v>
      </c>
      <c r="W49" s="5">
        <v>224.694320996122</v>
      </c>
      <c r="X49" s="5">
        <v>423.91204171601697</v>
      </c>
      <c r="Y49" s="5">
        <v>44.596593253090901</v>
      </c>
      <c r="Z49" s="5">
        <v>154.65711637176599</v>
      </c>
      <c r="AA49" s="5">
        <v>20.7975818128985</v>
      </c>
      <c r="AB49" s="5">
        <v>49.217870286221597</v>
      </c>
      <c r="AC49" s="5">
        <v>13.118598244631301</v>
      </c>
      <c r="AD49" s="5">
        <v>3.4694112112505402</v>
      </c>
      <c r="AE49" s="5">
        <v>317.800501651101</v>
      </c>
      <c r="AF49" s="5">
        <v>12.285227466644701</v>
      </c>
      <c r="AG49" s="5">
        <v>44.03</v>
      </c>
      <c r="AH49" s="5">
        <v>1.47936555514081</v>
      </c>
      <c r="AI49" s="5"/>
      <c r="AJ49" s="5"/>
      <c r="AK49" s="5">
        <v>71.666402178328099</v>
      </c>
      <c r="AL49" s="5">
        <v>4.84645289791042</v>
      </c>
      <c r="AM49" s="5">
        <v>11.994227993034301</v>
      </c>
      <c r="AN49" s="5">
        <v>1.6274685867809</v>
      </c>
      <c r="AO49" s="5">
        <v>7.1573284319959702</v>
      </c>
      <c r="AP49" s="5">
        <v>1.70577997775725</v>
      </c>
      <c r="AQ49" s="5">
        <v>0.56805689056942898</v>
      </c>
      <c r="AR49" s="5">
        <v>1.85445476350825</v>
      </c>
      <c r="AS49" s="5">
        <v>0.29782558338968601</v>
      </c>
      <c r="AT49" s="5">
        <v>2.04141242723863</v>
      </c>
      <c r="AU49" s="5">
        <v>0.46290070048952597</v>
      </c>
      <c r="AV49" s="5">
        <v>1.2664912737835501</v>
      </c>
      <c r="AW49" s="5">
        <v>0.18858622232105299</v>
      </c>
      <c r="AX49" s="5">
        <v>1.2263792432507401</v>
      </c>
      <c r="AY49" s="5">
        <v>0.18519665700729801</v>
      </c>
      <c r="AZ49" s="5">
        <v>1.2534543149072399</v>
      </c>
      <c r="BA49" s="5">
        <v>9.9892944011960805E-2</v>
      </c>
      <c r="BB49" s="5"/>
      <c r="BC49" s="5"/>
      <c r="BD49" s="5">
        <v>0.89447858867116203</v>
      </c>
      <c r="BE49" s="5">
        <v>0.242913723783241</v>
      </c>
      <c r="BF49" s="5">
        <v>3.3295540968521702</v>
      </c>
      <c r="BG49" s="5">
        <v>35.422561649037</v>
      </c>
      <c r="BH49" s="5">
        <v>0.294116042421876</v>
      </c>
      <c r="BI49" s="5">
        <f t="shared" si="4"/>
        <v>56.430314285714168</v>
      </c>
      <c r="BJ49" s="5">
        <v>34.170731707317103</v>
      </c>
      <c r="BK49" s="5">
        <f t="shared" si="7"/>
        <v>2.8346521990535263</v>
      </c>
      <c r="BL49" s="5">
        <v>1.2509171527231999</v>
      </c>
      <c r="BM49" s="98">
        <v>1230.396</v>
      </c>
      <c r="BN49" s="5">
        <v>0.95189016999999998</v>
      </c>
      <c r="BO49" s="6">
        <v>1.4089999999998499</v>
      </c>
      <c r="BP49" s="6">
        <f>(BN49-1)*0.4+BO49</f>
        <v>1.38975606799985</v>
      </c>
      <c r="BQ49" s="6">
        <v>0.9</v>
      </c>
      <c r="BR49" s="6">
        <f>(BN49-1)*0.4+BQ49</f>
        <v>0.88075606800000006</v>
      </c>
      <c r="BS49" s="2" t="s">
        <v>295</v>
      </c>
      <c r="BT49" s="52" t="s">
        <v>455</v>
      </c>
    </row>
    <row r="50" spans="1:72">
      <c r="A50" s="2">
        <v>180202</v>
      </c>
      <c r="B50" s="2" t="s">
        <v>310</v>
      </c>
      <c r="C50" s="2" t="s">
        <v>333</v>
      </c>
      <c r="D50" s="2" t="s">
        <v>424</v>
      </c>
      <c r="E50" s="2">
        <v>3230</v>
      </c>
      <c r="F50" s="5">
        <v>48.682000000000002</v>
      </c>
      <c r="G50" s="5">
        <v>0.46200000000000002</v>
      </c>
      <c r="H50" s="5">
        <v>14.747</v>
      </c>
      <c r="I50" s="5">
        <v>8.5510000000000002</v>
      </c>
      <c r="J50" s="5">
        <v>0.13900000000000001</v>
      </c>
      <c r="K50" s="5">
        <v>9.3539999999999992</v>
      </c>
      <c r="L50" s="5">
        <v>11.901</v>
      </c>
      <c r="M50" s="5">
        <v>0.80400000000000005</v>
      </c>
      <c r="N50" s="5">
        <v>2.1999999999999999E-2</v>
      </c>
      <c r="O50" s="5">
        <v>3.3000000000000002E-2</v>
      </c>
      <c r="P50" s="5"/>
      <c r="Q50" s="5">
        <f t="shared" si="5"/>
        <v>94.695000000000007</v>
      </c>
      <c r="R50" s="5">
        <f t="shared" si="6"/>
        <v>68.423563992599483</v>
      </c>
      <c r="S50" s="5">
        <f t="shared" si="3"/>
        <v>2768.9921121822958</v>
      </c>
      <c r="T50" s="5"/>
      <c r="U50" s="5"/>
      <c r="V50" s="5">
        <v>23</v>
      </c>
      <c r="W50" s="5">
        <v>180</v>
      </c>
      <c r="X50" s="5">
        <v>931</v>
      </c>
      <c r="Y50" s="5"/>
      <c r="Z50" s="5"/>
      <c r="AA50" s="5">
        <v>86</v>
      </c>
      <c r="AB50" s="5">
        <v>52</v>
      </c>
      <c r="AC50" s="5">
        <v>14.4</v>
      </c>
      <c r="AD50" s="5">
        <v>1.6</v>
      </c>
      <c r="AE50" s="5">
        <v>261.89999999999998</v>
      </c>
      <c r="AF50" s="5">
        <v>6.1</v>
      </c>
      <c r="AG50" s="5">
        <v>23</v>
      </c>
      <c r="AH50" s="5">
        <v>1.1000000000000001</v>
      </c>
      <c r="AI50" s="5"/>
      <c r="AJ50" s="5"/>
      <c r="AK50" s="5">
        <v>10</v>
      </c>
      <c r="AL50" s="5">
        <v>1.87</v>
      </c>
      <c r="AM50" s="5">
        <v>4.72</v>
      </c>
      <c r="AN50" s="5">
        <v>0.71</v>
      </c>
      <c r="AO50" s="5">
        <v>3.75</v>
      </c>
      <c r="AP50" s="5">
        <v>0.63</v>
      </c>
      <c r="AQ50" s="5">
        <v>0.50600000000000001</v>
      </c>
      <c r="AR50" s="5">
        <v>1.4</v>
      </c>
      <c r="AS50" s="5">
        <v>0.26</v>
      </c>
      <c r="AT50" s="5">
        <v>1.72</v>
      </c>
      <c r="AU50" s="5">
        <v>0.36</v>
      </c>
      <c r="AV50" s="5">
        <v>1</v>
      </c>
      <c r="AW50" s="5"/>
      <c r="AX50" s="5">
        <v>1.02</v>
      </c>
      <c r="AY50" s="5">
        <v>0.16</v>
      </c>
      <c r="AZ50" s="5">
        <v>0.8</v>
      </c>
      <c r="BA50" s="5">
        <v>0.1</v>
      </c>
      <c r="BB50" s="5"/>
      <c r="BC50" s="5"/>
      <c r="BD50" s="5">
        <v>0.2</v>
      </c>
      <c r="BE50" s="5">
        <v>0.1</v>
      </c>
      <c r="BF50" s="5">
        <v>2.54</v>
      </c>
      <c r="BG50" s="5">
        <v>18.106000000000002</v>
      </c>
      <c r="BH50" s="5">
        <v>0.56678491873607795</v>
      </c>
      <c r="BI50" s="5">
        <f t="shared" si="4"/>
        <v>55.353883453237408</v>
      </c>
      <c r="BJ50" s="5">
        <v>31.919913419913399</v>
      </c>
      <c r="BK50" s="5">
        <f t="shared" si="7"/>
        <v>1.3150492264416316</v>
      </c>
      <c r="BL50" s="5">
        <v>1.1354420113544199</v>
      </c>
      <c r="BM50" s="98">
        <v>1232.4070605936499</v>
      </c>
      <c r="BN50" s="5">
        <v>0.80247017238289997</v>
      </c>
      <c r="BO50" s="6">
        <v>0.59799999999989095</v>
      </c>
      <c r="BP50" s="6">
        <f>(BN50-1)*0.4+BO50</f>
        <v>0.51898806895305094</v>
      </c>
      <c r="BQ50" s="6"/>
      <c r="BR50" s="6"/>
      <c r="BS50" s="2" t="s">
        <v>354</v>
      </c>
      <c r="BT50" s="52" t="s">
        <v>359</v>
      </c>
    </row>
    <row r="51" spans="1:72">
      <c r="A51" s="2">
        <v>2</v>
      </c>
      <c r="B51" s="2" t="s">
        <v>310</v>
      </c>
      <c r="C51" s="2" t="s">
        <v>479</v>
      </c>
      <c r="D51" s="2" t="s">
        <v>424</v>
      </c>
      <c r="E51" s="99">
        <v>3160</v>
      </c>
      <c r="F51" s="5">
        <v>50.91</v>
      </c>
      <c r="G51" s="5">
        <v>0.31</v>
      </c>
      <c r="H51" s="5">
        <v>16.53</v>
      </c>
      <c r="I51" s="5">
        <v>10.65</v>
      </c>
      <c r="J51" s="5">
        <v>0.19</v>
      </c>
      <c r="K51" s="5">
        <v>8.8000000000000007</v>
      </c>
      <c r="L51" s="5">
        <v>6.8</v>
      </c>
      <c r="M51" s="5">
        <v>1.91</v>
      </c>
      <c r="N51" s="5">
        <v>0.86</v>
      </c>
      <c r="O51" s="5">
        <v>0.06</v>
      </c>
      <c r="P51" s="5"/>
      <c r="Q51" s="5">
        <f t="shared" si="5"/>
        <v>97.02</v>
      </c>
      <c r="R51" s="5">
        <f t="shared" si="6"/>
        <v>62.075219427172613</v>
      </c>
      <c r="S51" s="5">
        <f t="shared" si="3"/>
        <v>1857.98172029548</v>
      </c>
      <c r="T51" s="5"/>
      <c r="U51" s="5"/>
      <c r="V51" s="5">
        <v>49</v>
      </c>
      <c r="W51" s="5">
        <v>133</v>
      </c>
      <c r="X51" s="5">
        <v>89</v>
      </c>
      <c r="Y51" s="5"/>
      <c r="Z51" s="5">
        <v>71</v>
      </c>
      <c r="AA51" s="5"/>
      <c r="AB51" s="5"/>
      <c r="AC51" s="5"/>
      <c r="AD51" s="5">
        <v>37</v>
      </c>
      <c r="AE51" s="5">
        <v>84</v>
      </c>
      <c r="AF51" s="5">
        <v>10</v>
      </c>
      <c r="AG51" s="5">
        <v>33</v>
      </c>
      <c r="AH51" s="5">
        <v>1.6</v>
      </c>
      <c r="AI51" s="5"/>
      <c r="AJ51" s="5"/>
      <c r="AK51" s="5">
        <v>106</v>
      </c>
      <c r="AL51" s="5">
        <v>3.82</v>
      </c>
      <c r="AM51" s="5">
        <v>9.56</v>
      </c>
      <c r="AN51" s="5">
        <v>1.21</v>
      </c>
      <c r="AO51" s="5">
        <v>5.14</v>
      </c>
      <c r="AP51" s="5">
        <v>1.22</v>
      </c>
      <c r="AQ51" s="5">
        <v>0.35</v>
      </c>
      <c r="AR51" s="5">
        <v>1.28</v>
      </c>
      <c r="AS51" s="5">
        <v>0.25</v>
      </c>
      <c r="AT51" s="5">
        <v>1.51</v>
      </c>
      <c r="AU51" s="5">
        <v>0.33</v>
      </c>
      <c r="AV51" s="5">
        <v>1.07</v>
      </c>
      <c r="AW51" s="5"/>
      <c r="AX51" s="5">
        <v>1.27</v>
      </c>
      <c r="AY51" s="5">
        <v>0.2</v>
      </c>
      <c r="AZ51" s="5"/>
      <c r="BA51" s="5"/>
      <c r="BB51" s="5"/>
      <c r="BC51" s="5"/>
      <c r="BD51" s="5">
        <v>0.6</v>
      </c>
      <c r="BE51" s="5"/>
      <c r="BF51" s="5">
        <v>2.87</v>
      </c>
      <c r="BG51" s="5">
        <v>27.21</v>
      </c>
      <c r="BH51" s="5">
        <v>0.40357460182254801</v>
      </c>
      <c r="BI51" s="5">
        <f t="shared" si="4"/>
        <v>50.436157894736851</v>
      </c>
      <c r="BJ51" s="5">
        <v>53.322580645161302</v>
      </c>
      <c r="BK51" s="5">
        <f t="shared" si="7"/>
        <v>2.157546762350909</v>
      </c>
      <c r="BL51" s="5">
        <v>0.83376439258961299</v>
      </c>
      <c r="BM51" s="98">
        <v>1288.7173798261399</v>
      </c>
      <c r="BN51" s="5">
        <v>1.20553283425138</v>
      </c>
      <c r="BO51" s="6"/>
      <c r="BP51" s="6"/>
      <c r="BQ51" s="6"/>
      <c r="BR51" s="6"/>
      <c r="BS51" s="2" t="s">
        <v>295</v>
      </c>
      <c r="BT51" s="52" t="s">
        <v>360</v>
      </c>
    </row>
    <row r="52" spans="1:72">
      <c r="A52" s="2">
        <v>3</v>
      </c>
      <c r="B52" s="2" t="s">
        <v>310</v>
      </c>
      <c r="C52" s="2" t="s">
        <v>479</v>
      </c>
      <c r="D52" s="2" t="s">
        <v>424</v>
      </c>
      <c r="E52" s="99">
        <v>3160</v>
      </c>
      <c r="F52" s="5">
        <v>50.92</v>
      </c>
      <c r="G52" s="5">
        <v>0.37</v>
      </c>
      <c r="H52" s="5">
        <v>16</v>
      </c>
      <c r="I52" s="5">
        <v>10.69</v>
      </c>
      <c r="J52" s="5">
        <v>0.15</v>
      </c>
      <c r="K52" s="5">
        <v>9.36</v>
      </c>
      <c r="L52" s="5">
        <v>6.95</v>
      </c>
      <c r="M52" s="5">
        <v>2.0099999999999998</v>
      </c>
      <c r="N52" s="5">
        <v>0.23</v>
      </c>
      <c r="O52" s="5">
        <v>0.06</v>
      </c>
      <c r="P52" s="5"/>
      <c r="Q52" s="5">
        <f t="shared" si="5"/>
        <v>96.740000000000009</v>
      </c>
      <c r="R52" s="5">
        <f t="shared" si="6"/>
        <v>63.429493378609472</v>
      </c>
      <c r="S52" s="5">
        <f t="shared" si="3"/>
        <v>2217.59108551396</v>
      </c>
      <c r="T52" s="5"/>
      <c r="U52" s="5"/>
      <c r="V52" s="5">
        <v>42</v>
      </c>
      <c r="W52" s="5">
        <v>133</v>
      </c>
      <c r="X52" s="5">
        <v>188</v>
      </c>
      <c r="Y52" s="5"/>
      <c r="Z52" s="5">
        <v>79</v>
      </c>
      <c r="AA52" s="5"/>
      <c r="AB52" s="5"/>
      <c r="AC52" s="5"/>
      <c r="AD52" s="5">
        <v>5.8</v>
      </c>
      <c r="AE52" s="5">
        <v>91</v>
      </c>
      <c r="AF52" s="5">
        <v>10</v>
      </c>
      <c r="AG52" s="5">
        <v>27</v>
      </c>
      <c r="AH52" s="5">
        <v>1.6</v>
      </c>
      <c r="AI52" s="5"/>
      <c r="AJ52" s="5"/>
      <c r="AK52" s="5">
        <v>36</v>
      </c>
      <c r="AL52" s="5">
        <v>3.2</v>
      </c>
      <c r="AM52" s="5">
        <v>7.92</v>
      </c>
      <c r="AN52" s="5">
        <v>1.03</v>
      </c>
      <c r="AO52" s="5">
        <v>4.3499999999999996</v>
      </c>
      <c r="AP52" s="5">
        <v>1.24</v>
      </c>
      <c r="AQ52" s="5">
        <v>0.41</v>
      </c>
      <c r="AR52" s="5">
        <v>1.37</v>
      </c>
      <c r="AS52" s="5">
        <v>0.24</v>
      </c>
      <c r="AT52" s="5">
        <v>1.52</v>
      </c>
      <c r="AU52" s="5">
        <v>0.34</v>
      </c>
      <c r="AV52" s="5">
        <v>1.07</v>
      </c>
      <c r="AW52" s="5"/>
      <c r="AX52" s="5">
        <v>1.23</v>
      </c>
      <c r="AY52" s="5">
        <v>0.2</v>
      </c>
      <c r="AZ52" s="5"/>
      <c r="BA52" s="5"/>
      <c r="BB52" s="5"/>
      <c r="BC52" s="5"/>
      <c r="BD52" s="5">
        <v>0.6</v>
      </c>
      <c r="BE52" s="5"/>
      <c r="BF52" s="5">
        <v>2.84</v>
      </c>
      <c r="BG52" s="5">
        <v>24.12</v>
      </c>
      <c r="BH52" s="5">
        <v>0.48176718092566601</v>
      </c>
      <c r="BI52" s="5">
        <f t="shared" si="4"/>
        <v>64.125746666666672</v>
      </c>
      <c r="BJ52" s="5">
        <v>43.243243243243199</v>
      </c>
      <c r="BK52" s="5">
        <f t="shared" si="7"/>
        <v>1.8661452437309187</v>
      </c>
      <c r="BL52" s="5">
        <v>0.92140921409214105</v>
      </c>
      <c r="BM52" s="98">
        <v>1290.2702340124499</v>
      </c>
      <c r="BN52" s="5">
        <v>1.1483724234741599</v>
      </c>
      <c r="BO52" s="6">
        <v>-0.32600000000010998</v>
      </c>
      <c r="BP52" s="6">
        <f>(BN52-1)*0.4+BO52</f>
        <v>-0.26665103061044604</v>
      </c>
      <c r="BQ52" s="6"/>
      <c r="BR52" s="6"/>
      <c r="BS52" s="2" t="s">
        <v>295</v>
      </c>
      <c r="BT52" s="52" t="s">
        <v>360</v>
      </c>
    </row>
    <row r="53" spans="1:72">
      <c r="A53" s="2">
        <v>4</v>
      </c>
      <c r="B53" s="2" t="s">
        <v>310</v>
      </c>
      <c r="C53" s="2" t="s">
        <v>479</v>
      </c>
      <c r="D53" s="2" t="s">
        <v>424</v>
      </c>
      <c r="E53" s="99">
        <v>3160</v>
      </c>
      <c r="F53" s="5">
        <v>49.34</v>
      </c>
      <c r="G53" s="5">
        <v>0.31</v>
      </c>
      <c r="H53" s="5">
        <v>17.010000000000002</v>
      </c>
      <c r="I53" s="5">
        <v>10.44</v>
      </c>
      <c r="J53" s="5">
        <v>0.22</v>
      </c>
      <c r="K53" s="5">
        <v>8.32</v>
      </c>
      <c r="L53" s="5">
        <v>6.97</v>
      </c>
      <c r="M53" s="5">
        <v>1.3</v>
      </c>
      <c r="N53" s="5">
        <v>1.02</v>
      </c>
      <c r="O53" s="5">
        <v>0.06</v>
      </c>
      <c r="P53" s="5"/>
      <c r="Q53" s="5">
        <f t="shared" si="5"/>
        <v>94.990000000000009</v>
      </c>
      <c r="R53" s="5">
        <f t="shared" si="6"/>
        <v>61.219968809102646</v>
      </c>
      <c r="S53" s="5">
        <f t="shared" si="3"/>
        <v>1857.98172029548</v>
      </c>
      <c r="T53" s="5"/>
      <c r="U53" s="5"/>
      <c r="V53" s="5">
        <v>51</v>
      </c>
      <c r="W53" s="5">
        <v>162</v>
      </c>
      <c r="X53" s="5">
        <v>190</v>
      </c>
      <c r="Y53" s="5"/>
      <c r="Z53" s="5">
        <v>81</v>
      </c>
      <c r="AA53" s="5"/>
      <c r="AB53" s="5"/>
      <c r="AC53" s="5"/>
      <c r="AD53" s="5">
        <v>35.799999999999997</v>
      </c>
      <c r="AE53" s="5">
        <v>64</v>
      </c>
      <c r="AF53" s="5">
        <v>6</v>
      </c>
      <c r="AG53" s="5">
        <v>13</v>
      </c>
      <c r="AH53" s="5">
        <v>0.8</v>
      </c>
      <c r="AI53" s="5"/>
      <c r="AJ53" s="5"/>
      <c r="AK53" s="5">
        <v>106</v>
      </c>
      <c r="AL53" s="5">
        <v>1.32</v>
      </c>
      <c r="AM53" s="5">
        <v>2.9</v>
      </c>
      <c r="AN53" s="5">
        <v>0.43</v>
      </c>
      <c r="AO53" s="5">
        <v>1.92</v>
      </c>
      <c r="AP53" s="5">
        <v>0.52</v>
      </c>
      <c r="AQ53" s="5">
        <v>0.25</v>
      </c>
      <c r="AR53" s="5">
        <v>0.61</v>
      </c>
      <c r="AS53" s="5">
        <v>0.09</v>
      </c>
      <c r="AT53" s="5">
        <v>0.77</v>
      </c>
      <c r="AU53" s="5">
        <v>0.18</v>
      </c>
      <c r="AV53" s="5">
        <v>0.56999999999999995</v>
      </c>
      <c r="AW53" s="5"/>
      <c r="AX53" s="5">
        <v>0.77</v>
      </c>
      <c r="AY53" s="5">
        <v>0.16</v>
      </c>
      <c r="AZ53" s="5"/>
      <c r="BA53" s="5"/>
      <c r="BB53" s="5"/>
      <c r="BC53" s="5"/>
      <c r="BD53" s="5">
        <v>0.2</v>
      </c>
      <c r="BE53" s="5"/>
      <c r="BF53" s="5">
        <v>1.68</v>
      </c>
      <c r="BG53" s="5">
        <v>10.49</v>
      </c>
      <c r="BH53" s="5">
        <v>0.58396021930383801</v>
      </c>
      <c r="BI53" s="5">
        <f t="shared" si="4"/>
        <v>42.699600000000004</v>
      </c>
      <c r="BJ53" s="5">
        <v>54.870967741935502</v>
      </c>
      <c r="BK53" s="5">
        <f t="shared" si="7"/>
        <v>1.2296564195298374</v>
      </c>
      <c r="BL53" s="5">
        <v>0.65535437798211504</v>
      </c>
      <c r="BM53" s="98">
        <v>1290.6216900207401</v>
      </c>
      <c r="BN53" s="5">
        <v>1.2263291572901101</v>
      </c>
      <c r="BO53" s="6"/>
      <c r="BP53" s="6"/>
      <c r="BQ53" s="6"/>
      <c r="BR53" s="6"/>
      <c r="BS53" s="2" t="s">
        <v>295</v>
      </c>
      <c r="BT53" s="52" t="s">
        <v>360</v>
      </c>
    </row>
    <row r="54" spans="1:72">
      <c r="A54" s="2">
        <v>5</v>
      </c>
      <c r="B54" s="2" t="s">
        <v>310</v>
      </c>
      <c r="C54" s="2" t="s">
        <v>479</v>
      </c>
      <c r="D54" s="2" t="s">
        <v>424</v>
      </c>
      <c r="E54" s="99">
        <v>3160</v>
      </c>
      <c r="F54" s="5">
        <v>49.78</v>
      </c>
      <c r="G54" s="5">
        <v>0.28999999999999998</v>
      </c>
      <c r="H54" s="5">
        <v>16.68</v>
      </c>
      <c r="I54" s="5">
        <v>9.77</v>
      </c>
      <c r="J54" s="5">
        <v>0.21</v>
      </c>
      <c r="K54" s="5">
        <v>9.1199999999999992</v>
      </c>
      <c r="L54" s="5">
        <v>8.41</v>
      </c>
      <c r="M54" s="5">
        <v>1.07</v>
      </c>
      <c r="N54" s="5">
        <v>0.02</v>
      </c>
      <c r="O54" s="5">
        <v>0.05</v>
      </c>
      <c r="P54" s="5"/>
      <c r="Q54" s="5">
        <f t="shared" si="5"/>
        <v>95.399999999999977</v>
      </c>
      <c r="R54" s="5">
        <f t="shared" si="6"/>
        <v>64.901301685372275</v>
      </c>
      <c r="S54" s="5">
        <f t="shared" si="3"/>
        <v>1738.11193188932</v>
      </c>
      <c r="T54" s="5"/>
      <c r="U54" s="5"/>
      <c r="V54" s="5">
        <v>43</v>
      </c>
      <c r="W54" s="5">
        <v>131</v>
      </c>
      <c r="X54" s="5">
        <v>164</v>
      </c>
      <c r="Y54" s="5"/>
      <c r="Z54" s="5">
        <v>81</v>
      </c>
      <c r="AA54" s="5"/>
      <c r="AB54" s="5"/>
      <c r="AC54" s="5"/>
      <c r="AD54" s="5"/>
      <c r="AE54" s="5">
        <v>69</v>
      </c>
      <c r="AF54" s="5">
        <v>6</v>
      </c>
      <c r="AG54" s="5">
        <v>16</v>
      </c>
      <c r="AH54" s="5">
        <v>0.8</v>
      </c>
      <c r="AI54" s="5"/>
      <c r="AJ54" s="5"/>
      <c r="AK54" s="5">
        <v>30</v>
      </c>
      <c r="AL54" s="5">
        <v>2.1800000000000002</v>
      </c>
      <c r="AM54" s="5">
        <v>4.3899999999999997</v>
      </c>
      <c r="AN54" s="5">
        <v>0.57999999999999996</v>
      </c>
      <c r="AO54" s="5">
        <v>2.62</v>
      </c>
      <c r="AP54" s="5">
        <v>0.57999999999999996</v>
      </c>
      <c r="AQ54" s="5">
        <v>0.24</v>
      </c>
      <c r="AR54" s="5">
        <v>0.69</v>
      </c>
      <c r="AS54" s="5">
        <v>0.11</v>
      </c>
      <c r="AT54" s="5">
        <v>0.79</v>
      </c>
      <c r="AU54" s="5">
        <v>0.18</v>
      </c>
      <c r="AV54" s="5">
        <v>0.61</v>
      </c>
      <c r="AW54" s="5"/>
      <c r="AX54" s="5">
        <v>0.78</v>
      </c>
      <c r="AY54" s="5">
        <v>0.13</v>
      </c>
      <c r="AZ54" s="5"/>
      <c r="BA54" s="5"/>
      <c r="BB54" s="5"/>
      <c r="BC54" s="5"/>
      <c r="BD54" s="5">
        <v>0.2</v>
      </c>
      <c r="BE54" s="5"/>
      <c r="BF54" s="5">
        <v>1.7</v>
      </c>
      <c r="BG54" s="5">
        <v>13.88</v>
      </c>
      <c r="BH54" s="5">
        <v>0.35359059150507599</v>
      </c>
      <c r="BI54" s="5">
        <f t="shared" si="4"/>
        <v>41.862123809523808</v>
      </c>
      <c r="BJ54" s="5">
        <v>57.517241379310299</v>
      </c>
      <c r="BK54" s="5">
        <f t="shared" si="7"/>
        <v>2.004760359190739</v>
      </c>
      <c r="BL54" s="5">
        <v>0.73179861501029397</v>
      </c>
      <c r="BM54" s="98">
        <v>1263.75842307313</v>
      </c>
      <c r="BN54" s="5">
        <v>0.95179414269734897</v>
      </c>
      <c r="BO54" s="6"/>
      <c r="BP54" s="6"/>
      <c r="BQ54" s="6"/>
      <c r="BR54" s="6"/>
      <c r="BS54" s="2" t="s">
        <v>295</v>
      </c>
      <c r="BT54" s="52" t="s">
        <v>360</v>
      </c>
    </row>
    <row r="55" spans="1:72">
      <c r="A55" s="2">
        <v>174438</v>
      </c>
      <c r="B55" s="2" t="s">
        <v>310</v>
      </c>
      <c r="C55" s="2" t="s">
        <v>311</v>
      </c>
      <c r="D55" s="2" t="s">
        <v>424</v>
      </c>
      <c r="E55" s="2">
        <v>3120</v>
      </c>
      <c r="F55" s="5">
        <v>47.307999000000002</v>
      </c>
      <c r="G55" s="5">
        <v>0.28699999999999998</v>
      </c>
      <c r="H55" s="5">
        <v>16.766999999999999</v>
      </c>
      <c r="I55" s="5">
        <v>10.329000000000001</v>
      </c>
      <c r="J55" s="5">
        <v>0.19600000000000001</v>
      </c>
      <c r="K55" s="5">
        <v>9.9550000000000001</v>
      </c>
      <c r="L55" s="5">
        <v>7.915</v>
      </c>
      <c r="M55" s="5">
        <v>1.3839999999999999</v>
      </c>
      <c r="N55" s="5">
        <v>1.222</v>
      </c>
      <c r="O55" s="5">
        <v>5.0999999999999997E-2</v>
      </c>
      <c r="P55" s="5">
        <v>5.3760000000000003</v>
      </c>
      <c r="Q55" s="5">
        <f t="shared" si="5"/>
        <v>95.413999000000004</v>
      </c>
      <c r="R55" s="5">
        <f t="shared" si="6"/>
        <v>65.625960924245433</v>
      </c>
      <c r="S55" s="5">
        <f t="shared" si="3"/>
        <v>1720.131463628396</v>
      </c>
      <c r="T55" s="5"/>
      <c r="U55" s="5"/>
      <c r="V55" s="5"/>
      <c r="W55" s="5">
        <v>125</v>
      </c>
      <c r="X55" s="5">
        <v>259</v>
      </c>
      <c r="Y55" s="5"/>
      <c r="Z55" s="5">
        <v>99</v>
      </c>
      <c r="AA55" s="5"/>
      <c r="AB55" s="5"/>
      <c r="AC55" s="5">
        <v>8.9</v>
      </c>
      <c r="AD55" s="5">
        <v>56</v>
      </c>
      <c r="AE55" s="5">
        <v>99.099997999999999</v>
      </c>
      <c r="AF55" s="5">
        <v>4.2</v>
      </c>
      <c r="AG55" s="5">
        <v>3</v>
      </c>
      <c r="AH55" s="5">
        <v>0.3</v>
      </c>
      <c r="AI55" s="5"/>
      <c r="AJ55" s="5"/>
      <c r="AK55" s="5">
        <v>160</v>
      </c>
      <c r="AL55" s="5">
        <v>1.3919999999999999</v>
      </c>
      <c r="AM55" s="5">
        <v>3.7442000000000002</v>
      </c>
      <c r="AN55" s="5">
        <v>0.50290000000000001</v>
      </c>
      <c r="AO55" s="5">
        <v>2.1755</v>
      </c>
      <c r="AP55" s="5"/>
      <c r="AQ55" s="5">
        <v>0.26600000000000001</v>
      </c>
      <c r="AR55" s="5">
        <v>0.60160000000000002</v>
      </c>
      <c r="AS55" s="5">
        <v>0.1012</v>
      </c>
      <c r="AT55" s="5">
        <v>0.64</v>
      </c>
      <c r="AU55" s="5">
        <v>0.14000000000000001</v>
      </c>
      <c r="AV55" s="5">
        <v>0.46</v>
      </c>
      <c r="AW55" s="5"/>
      <c r="AX55" s="5">
        <v>0.6</v>
      </c>
      <c r="AY55" s="5">
        <v>0.1</v>
      </c>
      <c r="AZ55" s="5">
        <v>0.3</v>
      </c>
      <c r="BA55" s="5">
        <v>0</v>
      </c>
      <c r="BB55" s="5"/>
      <c r="BC55" s="5"/>
      <c r="BD55" s="5">
        <v>0.2</v>
      </c>
      <c r="BE55" s="5">
        <v>0</v>
      </c>
      <c r="BF55" s="5">
        <v>1.3</v>
      </c>
      <c r="BG55" s="5">
        <v>10.7234</v>
      </c>
      <c r="BH55" s="5">
        <v>0.20765826764037301</v>
      </c>
      <c r="BI55" s="5">
        <f t="shared" si="4"/>
        <v>47.418541836734697</v>
      </c>
      <c r="BJ55" s="5">
        <v>58.4216027874565</v>
      </c>
      <c r="BK55" s="5">
        <f t="shared" si="7"/>
        <v>1.6641350210970467</v>
      </c>
      <c r="BL55" s="5">
        <v>0.82945660989456604</v>
      </c>
      <c r="BM55" s="98">
        <v>1294.58638331424</v>
      </c>
      <c r="BN55" s="5">
        <v>1.4830115596362501</v>
      </c>
      <c r="BO55" s="6"/>
      <c r="BP55" s="6"/>
      <c r="BQ55" s="6"/>
      <c r="BR55" s="6"/>
      <c r="BS55" s="2" t="s">
        <v>295</v>
      </c>
      <c r="BT55" s="52" t="s">
        <v>322</v>
      </c>
    </row>
    <row r="56" spans="1:72">
      <c r="A56" s="2">
        <v>174440</v>
      </c>
      <c r="B56" s="2" t="s">
        <v>310</v>
      </c>
      <c r="C56" s="2" t="s">
        <v>311</v>
      </c>
      <c r="D56" s="2" t="s">
        <v>424</v>
      </c>
      <c r="E56" s="2">
        <v>3120</v>
      </c>
      <c r="F56" s="5">
        <v>50.914000999999999</v>
      </c>
      <c r="G56" s="5">
        <v>0.313</v>
      </c>
      <c r="H56" s="5">
        <v>16.530999999999999</v>
      </c>
      <c r="I56" s="5">
        <v>10.654999999999999</v>
      </c>
      <c r="J56" s="5">
        <v>0.193</v>
      </c>
      <c r="K56" s="5">
        <v>8.7949999999999999</v>
      </c>
      <c r="L56" s="5">
        <v>6.8010000000000002</v>
      </c>
      <c r="M56" s="5">
        <v>1.915</v>
      </c>
      <c r="N56" s="5">
        <v>0.86299999999999999</v>
      </c>
      <c r="O56" s="5">
        <v>5.6000000000000001E-2</v>
      </c>
      <c r="P56" s="5">
        <v>3.7879999999999998</v>
      </c>
      <c r="Q56" s="5">
        <f t="shared" si="5"/>
        <v>97.036001000000013</v>
      </c>
      <c r="R56" s="5">
        <f t="shared" si="6"/>
        <v>62.050786554817272</v>
      </c>
      <c r="S56" s="5">
        <f t="shared" si="3"/>
        <v>1875.962188556404</v>
      </c>
      <c r="T56" s="5"/>
      <c r="U56" s="5"/>
      <c r="V56" s="5"/>
      <c r="W56" s="5">
        <v>133</v>
      </c>
      <c r="X56" s="5">
        <v>89</v>
      </c>
      <c r="Y56" s="5"/>
      <c r="Z56" s="5">
        <v>71</v>
      </c>
      <c r="AA56" s="5"/>
      <c r="AB56" s="5"/>
      <c r="AC56" s="5">
        <v>10</v>
      </c>
      <c r="AD56" s="5">
        <v>37</v>
      </c>
      <c r="AE56" s="5">
        <v>83.900002000000001</v>
      </c>
      <c r="AF56" s="5">
        <v>9.8000000000000007</v>
      </c>
      <c r="AG56" s="5">
        <v>33</v>
      </c>
      <c r="AH56" s="5">
        <v>1.6</v>
      </c>
      <c r="AI56" s="5"/>
      <c r="AJ56" s="5"/>
      <c r="AK56" s="5">
        <v>106</v>
      </c>
      <c r="AL56" s="5">
        <v>3.8208000000000002</v>
      </c>
      <c r="AM56" s="5">
        <v>9.5641999999999996</v>
      </c>
      <c r="AN56" s="5">
        <v>1.2091000000000001</v>
      </c>
      <c r="AO56" s="5">
        <v>5.1395</v>
      </c>
      <c r="AP56" s="5"/>
      <c r="AQ56" s="5">
        <v>0.34699999999999998</v>
      </c>
      <c r="AR56" s="5">
        <v>1.2784</v>
      </c>
      <c r="AS56" s="5">
        <v>0.24840000000000001</v>
      </c>
      <c r="AT56" s="5">
        <v>1.51</v>
      </c>
      <c r="AU56" s="5">
        <v>0.33</v>
      </c>
      <c r="AV56" s="5">
        <v>1.07</v>
      </c>
      <c r="AW56" s="5"/>
      <c r="AX56" s="5">
        <v>1.27</v>
      </c>
      <c r="AY56" s="5">
        <v>0.2</v>
      </c>
      <c r="AZ56" s="5">
        <v>1</v>
      </c>
      <c r="BA56" s="5">
        <v>0.1</v>
      </c>
      <c r="BB56" s="5"/>
      <c r="BC56" s="5"/>
      <c r="BD56" s="5">
        <v>0.6</v>
      </c>
      <c r="BE56" s="5">
        <v>0.16</v>
      </c>
      <c r="BF56" s="5">
        <v>2.87</v>
      </c>
      <c r="BG56" s="5">
        <v>25.987400000000001</v>
      </c>
      <c r="BH56" s="5">
        <v>0.40349010127777701</v>
      </c>
      <c r="BI56" s="5">
        <f t="shared" si="4"/>
        <v>49.675487046632128</v>
      </c>
      <c r="BJ56" s="5">
        <v>52.814696485623003</v>
      </c>
      <c r="BK56" s="5">
        <f t="shared" si="7"/>
        <v>2.1579986046048045</v>
      </c>
      <c r="BL56" s="5">
        <v>0.83272218709887502</v>
      </c>
      <c r="BM56" s="98">
        <v>1288.6531244282401</v>
      </c>
      <c r="BN56" s="5">
        <v>1.206313004329</v>
      </c>
      <c r="BO56" s="6"/>
      <c r="BP56" s="6"/>
      <c r="BQ56" s="6"/>
      <c r="BR56" s="6"/>
      <c r="BS56" s="2" t="s">
        <v>295</v>
      </c>
      <c r="BT56" s="52" t="s">
        <v>322</v>
      </c>
    </row>
    <row r="57" spans="1:72">
      <c r="A57" s="2">
        <v>174441</v>
      </c>
      <c r="B57" s="2" t="s">
        <v>310</v>
      </c>
      <c r="C57" s="2" t="s">
        <v>311</v>
      </c>
      <c r="D57" s="2" t="s">
        <v>424</v>
      </c>
      <c r="E57" s="2">
        <v>3120</v>
      </c>
      <c r="F57" s="5">
        <v>50.922001000000002</v>
      </c>
      <c r="G57" s="5">
        <v>0.36699999999999999</v>
      </c>
      <c r="H57" s="5">
        <v>16.004999000000002</v>
      </c>
      <c r="I57" s="5">
        <v>10.694000000000001</v>
      </c>
      <c r="J57" s="5">
        <v>0.14699999999999999</v>
      </c>
      <c r="K57" s="5">
        <v>9.3620000000000001</v>
      </c>
      <c r="L57" s="5">
        <v>6.9480000000000004</v>
      </c>
      <c r="M57" s="5">
        <v>2.0129999999999999</v>
      </c>
      <c r="N57" s="5">
        <v>0.23499999999999999</v>
      </c>
      <c r="O57" s="5">
        <v>6.2E-2</v>
      </c>
      <c r="P57" s="5">
        <v>4.0880000000000001</v>
      </c>
      <c r="Q57" s="5">
        <f t="shared" si="5"/>
        <v>96.754999999999995</v>
      </c>
      <c r="R57" s="5">
        <f t="shared" si="6"/>
        <v>63.425771210941676</v>
      </c>
      <c r="S57" s="5">
        <f t="shared" si="3"/>
        <v>2199.6106172530358</v>
      </c>
      <c r="T57" s="5"/>
      <c r="U57" s="5"/>
      <c r="V57" s="5"/>
      <c r="W57" s="5">
        <v>133</v>
      </c>
      <c r="X57" s="5">
        <v>188</v>
      </c>
      <c r="Y57" s="5"/>
      <c r="Z57" s="5">
        <v>79</v>
      </c>
      <c r="AA57" s="5"/>
      <c r="AB57" s="5"/>
      <c r="AC57" s="5">
        <v>9.4</v>
      </c>
      <c r="AD57" s="5">
        <v>5.8</v>
      </c>
      <c r="AE57" s="5">
        <v>91.099997999999999</v>
      </c>
      <c r="AF57" s="5">
        <v>10.199999999999999</v>
      </c>
      <c r="AG57" s="5">
        <v>27</v>
      </c>
      <c r="AH57" s="5">
        <v>1.6</v>
      </c>
      <c r="AI57" s="5"/>
      <c r="AJ57" s="5"/>
      <c r="AK57" s="5">
        <v>36</v>
      </c>
      <c r="AL57" s="5">
        <v>3.1968000000000001</v>
      </c>
      <c r="AM57" s="5">
        <v>7.9151999999999996</v>
      </c>
      <c r="AN57" s="5">
        <v>1.0271999999999999</v>
      </c>
      <c r="AO57" s="5">
        <v>4.351</v>
      </c>
      <c r="AP57" s="5"/>
      <c r="AQ57" s="5">
        <v>0.41499999999999998</v>
      </c>
      <c r="AR57" s="5">
        <v>1.3724000000000001</v>
      </c>
      <c r="AS57" s="5">
        <v>0.2392</v>
      </c>
      <c r="AT57" s="5">
        <v>1.52</v>
      </c>
      <c r="AU57" s="5">
        <v>0.34</v>
      </c>
      <c r="AV57" s="5">
        <v>1.07</v>
      </c>
      <c r="AW57" s="5"/>
      <c r="AX57" s="5">
        <v>1.23</v>
      </c>
      <c r="AY57" s="5">
        <v>0.2</v>
      </c>
      <c r="AZ57" s="5">
        <v>0.9</v>
      </c>
      <c r="BA57" s="5">
        <v>0.1</v>
      </c>
      <c r="BB57" s="5"/>
      <c r="BC57" s="5"/>
      <c r="BD57" s="5">
        <v>0.6</v>
      </c>
      <c r="BE57" s="5">
        <v>0.15</v>
      </c>
      <c r="BF57" s="5">
        <v>2.84</v>
      </c>
      <c r="BG57" s="5">
        <v>22.876799999999999</v>
      </c>
      <c r="BH57" s="5">
        <v>0.48224943035602202</v>
      </c>
      <c r="BI57" s="5">
        <f t="shared" si="4"/>
        <v>65.458919727891171</v>
      </c>
      <c r="BJ57" s="5">
        <v>43.610351498637598</v>
      </c>
      <c r="BK57" s="5">
        <f t="shared" si="7"/>
        <v>1.8642790984871878</v>
      </c>
      <c r="BL57" s="5">
        <v>0.92302336162047804</v>
      </c>
      <c r="BM57" s="98">
        <v>1290.3226074322399</v>
      </c>
      <c r="BN57" s="5">
        <v>1.1496591052676199</v>
      </c>
      <c r="BO57" s="6">
        <v>-0.31600000000011003</v>
      </c>
      <c r="BP57" s="6">
        <f>(BN57-1)*0.4+BO57</f>
        <v>-0.25613635789306205</v>
      </c>
      <c r="BQ57" s="6"/>
      <c r="BR57" s="6"/>
      <c r="BS57" s="2" t="s">
        <v>295</v>
      </c>
      <c r="BT57" s="52" t="s">
        <v>322</v>
      </c>
    </row>
    <row r="58" spans="1:72">
      <c r="A58" s="2">
        <v>174453</v>
      </c>
      <c r="B58" s="2" t="s">
        <v>310</v>
      </c>
      <c r="C58" s="2" t="s">
        <v>311</v>
      </c>
      <c r="D58" s="2" t="s">
        <v>424</v>
      </c>
      <c r="E58" s="2">
        <v>3120</v>
      </c>
      <c r="F58" s="5">
        <v>49.777999999999999</v>
      </c>
      <c r="G58" s="5">
        <v>0.28899999999999998</v>
      </c>
      <c r="H58" s="5">
        <v>16.677</v>
      </c>
      <c r="I58" s="5">
        <v>9.7729999999999997</v>
      </c>
      <c r="J58" s="5">
        <v>0.20699999999999999</v>
      </c>
      <c r="K58" s="5">
        <v>9.1180000000000003</v>
      </c>
      <c r="L58" s="5">
        <v>8.4130000000000003</v>
      </c>
      <c r="M58" s="5">
        <v>1.0720000000000001</v>
      </c>
      <c r="N58" s="5">
        <v>1.7000000000000001E-2</v>
      </c>
      <c r="O58" s="5">
        <v>5.0999999999999997E-2</v>
      </c>
      <c r="P58" s="5">
        <v>5.2990000000000004</v>
      </c>
      <c r="Q58" s="5">
        <f t="shared" si="5"/>
        <v>95.394999999999982</v>
      </c>
      <c r="R58" s="5">
        <f t="shared" si="6"/>
        <v>64.88931103155889</v>
      </c>
      <c r="S58" s="5">
        <f t="shared" si="3"/>
        <v>1732.1184424690118</v>
      </c>
      <c r="T58" s="5"/>
      <c r="U58" s="5"/>
      <c r="V58" s="5"/>
      <c r="W58" s="5">
        <v>131</v>
      </c>
      <c r="X58" s="5">
        <v>164</v>
      </c>
      <c r="Y58" s="5"/>
      <c r="Z58" s="5">
        <v>81</v>
      </c>
      <c r="AA58" s="5"/>
      <c r="AB58" s="5"/>
      <c r="AC58" s="5">
        <v>9.1</v>
      </c>
      <c r="AD58" s="5">
        <v>0</v>
      </c>
      <c r="AE58" s="5">
        <v>68.599997999999999</v>
      </c>
      <c r="AF58" s="5">
        <v>5.6</v>
      </c>
      <c r="AG58" s="5">
        <v>9</v>
      </c>
      <c r="AH58" s="5">
        <v>0.8</v>
      </c>
      <c r="AI58" s="5"/>
      <c r="AJ58" s="5"/>
      <c r="AK58" s="5">
        <v>30</v>
      </c>
      <c r="AL58" s="5">
        <v>2.1791999999999998</v>
      </c>
      <c r="AM58" s="5">
        <v>4.3940999999999999</v>
      </c>
      <c r="AN58" s="5">
        <v>0.57779999999999998</v>
      </c>
      <c r="AO58" s="5">
        <v>2.6219999999999999</v>
      </c>
      <c r="AP58" s="5"/>
      <c r="AQ58" s="5">
        <v>0.24099999999999999</v>
      </c>
      <c r="AR58" s="5">
        <v>0.68620000000000003</v>
      </c>
      <c r="AS58" s="5">
        <v>0.1104</v>
      </c>
      <c r="AT58" s="5">
        <v>0.79</v>
      </c>
      <c r="AU58" s="5">
        <v>0.18</v>
      </c>
      <c r="AV58" s="5">
        <v>0.61</v>
      </c>
      <c r="AW58" s="5"/>
      <c r="AX58" s="5">
        <v>0.78</v>
      </c>
      <c r="AY58" s="5">
        <v>0.13</v>
      </c>
      <c r="AZ58" s="5">
        <v>0.4</v>
      </c>
      <c r="BA58" s="5">
        <v>0</v>
      </c>
      <c r="BB58" s="5"/>
      <c r="BC58" s="5"/>
      <c r="BD58" s="5">
        <v>0.2</v>
      </c>
      <c r="BE58" s="5">
        <v>0</v>
      </c>
      <c r="BF58" s="5">
        <v>1.7</v>
      </c>
      <c r="BG58" s="5">
        <v>13.300700000000001</v>
      </c>
      <c r="BH58" s="5">
        <v>0.35372039715540798</v>
      </c>
      <c r="BI58" s="5">
        <f t="shared" si="4"/>
        <v>42.481861835748795</v>
      </c>
      <c r="BJ58" s="5">
        <v>57.705882352941202</v>
      </c>
      <c r="BK58" s="5">
        <f t="shared" si="7"/>
        <v>2.0040246673158064</v>
      </c>
      <c r="BL58" s="5">
        <v>0.72776841973922302</v>
      </c>
      <c r="BM58" s="98">
        <v>1263.72470864826</v>
      </c>
      <c r="BN58" s="5">
        <v>0.95130745808829498</v>
      </c>
      <c r="BO58" s="6"/>
      <c r="BP58" s="6"/>
      <c r="BQ58" s="6"/>
      <c r="BR58" s="6"/>
      <c r="BS58" s="2" t="s">
        <v>295</v>
      </c>
      <c r="BT58" s="52" t="s">
        <v>322</v>
      </c>
    </row>
    <row r="59" spans="1:72">
      <c r="A59" s="2">
        <v>142194</v>
      </c>
      <c r="B59" s="2" t="s">
        <v>310</v>
      </c>
      <c r="C59" s="2" t="s">
        <v>327</v>
      </c>
      <c r="D59" s="2" t="s">
        <v>424</v>
      </c>
      <c r="E59" s="2">
        <v>2950</v>
      </c>
      <c r="F59" s="5">
        <v>53.51</v>
      </c>
      <c r="G59" s="5">
        <v>0.26</v>
      </c>
      <c r="H59" s="5">
        <v>17.12</v>
      </c>
      <c r="I59" s="5">
        <v>9.01</v>
      </c>
      <c r="J59" s="5">
        <v>0.16</v>
      </c>
      <c r="K59" s="5">
        <v>8.2200000000000006</v>
      </c>
      <c r="L59" s="5">
        <v>8.11</v>
      </c>
      <c r="M59" s="5">
        <v>1.65</v>
      </c>
      <c r="N59" s="5">
        <v>0.39</v>
      </c>
      <c r="O59" s="5">
        <v>0.05</v>
      </c>
      <c r="P59" s="5">
        <v>2.15</v>
      </c>
      <c r="Q59" s="5">
        <f t="shared" si="5"/>
        <v>98.48</v>
      </c>
      <c r="R59" s="5">
        <f t="shared" si="6"/>
        <v>64.377470244274946</v>
      </c>
      <c r="S59" s="5">
        <f t="shared" si="3"/>
        <v>1558.3072492800798</v>
      </c>
      <c r="T59" s="5"/>
      <c r="U59" s="5"/>
      <c r="V59" s="5"/>
      <c r="W59" s="5">
        <v>163.38456400000001</v>
      </c>
      <c r="X59" s="5">
        <v>153.62782200000001</v>
      </c>
      <c r="Y59" s="5"/>
      <c r="Z59" s="5">
        <v>74.671880000000002</v>
      </c>
      <c r="AA59" s="5"/>
      <c r="AB59" s="5"/>
      <c r="AC59" s="5">
        <v>10.661784000000001</v>
      </c>
      <c r="AD59" s="5">
        <v>14.634506999999999</v>
      </c>
      <c r="AE59" s="5">
        <v>198.56581800000001</v>
      </c>
      <c r="AF59" s="5">
        <v>11.731752</v>
      </c>
      <c r="AG59" s="5">
        <v>37.614299000000003</v>
      </c>
      <c r="AH59" s="5">
        <v>1.4219790000000001</v>
      </c>
      <c r="AI59" s="5"/>
      <c r="AJ59" s="5"/>
      <c r="AK59" s="5">
        <v>68.379954999999995</v>
      </c>
      <c r="AL59" s="5">
        <v>6.460248</v>
      </c>
      <c r="AM59" s="5">
        <v>12.50212</v>
      </c>
      <c r="AN59" s="5">
        <v>1.473608</v>
      </c>
      <c r="AO59" s="5">
        <v>5.4198919999999999</v>
      </c>
      <c r="AP59" s="5"/>
      <c r="AQ59" s="5">
        <v>0.333042</v>
      </c>
      <c r="AR59" s="5">
        <v>1.1667590000000001</v>
      </c>
      <c r="AS59" s="5">
        <v>0.21201500000000001</v>
      </c>
      <c r="AT59" s="5">
        <v>1.509614</v>
      </c>
      <c r="AU59" s="5">
        <v>0.38775999999999999</v>
      </c>
      <c r="AV59" s="5">
        <v>1.2257670000000001</v>
      </c>
      <c r="AW59" s="5">
        <v>0.21502499999999999</v>
      </c>
      <c r="AX59" s="5">
        <v>1.542475</v>
      </c>
      <c r="AY59" s="5">
        <v>0.27025100000000002</v>
      </c>
      <c r="AZ59" s="5">
        <v>0.97511000000000003</v>
      </c>
      <c r="BA59" s="5">
        <v>0.127885</v>
      </c>
      <c r="BB59" s="5"/>
      <c r="BC59" s="5">
        <v>2.4808690000000002</v>
      </c>
      <c r="BD59" s="5">
        <v>0.84382100000000004</v>
      </c>
      <c r="BE59" s="5">
        <v>0.25291799999999998</v>
      </c>
      <c r="BF59" s="5">
        <v>3.6412779999999998</v>
      </c>
      <c r="BG59" s="5">
        <v>32.718575999999999</v>
      </c>
      <c r="BH59" s="5">
        <v>0.21208560852942401</v>
      </c>
      <c r="BI59" s="5">
        <f t="shared" si="4"/>
        <v>50.669987499999998</v>
      </c>
      <c r="BJ59" s="5">
        <v>65.846153846153896</v>
      </c>
      <c r="BK59" s="5">
        <f t="shared" si="7"/>
        <v>3.0042192998635069</v>
      </c>
      <c r="BL59" s="5">
        <v>0.62574893755647298</v>
      </c>
      <c r="BM59" s="98">
        <v>1229.3923593026</v>
      </c>
      <c r="BN59" s="5">
        <v>0.74129404437319701</v>
      </c>
      <c r="BO59" s="6"/>
      <c r="BP59" s="6"/>
      <c r="BQ59" s="6"/>
      <c r="BR59" s="6"/>
      <c r="BS59" s="2" t="s">
        <v>295</v>
      </c>
      <c r="BT59" s="52" t="s">
        <v>328</v>
      </c>
    </row>
    <row r="60" spans="1:72">
      <c r="A60" s="2">
        <v>142194</v>
      </c>
      <c r="B60" s="2" t="s">
        <v>310</v>
      </c>
      <c r="C60" s="2" t="s">
        <v>327</v>
      </c>
      <c r="D60" s="2" t="s">
        <v>424</v>
      </c>
      <c r="E60" s="2">
        <v>2950</v>
      </c>
      <c r="F60" s="5">
        <v>53.51</v>
      </c>
      <c r="G60" s="5">
        <v>0.26</v>
      </c>
      <c r="H60" s="5">
        <v>17.12</v>
      </c>
      <c r="I60" s="5">
        <v>9.01</v>
      </c>
      <c r="J60" s="5">
        <v>0.16</v>
      </c>
      <c r="K60" s="5">
        <v>8.2200000000000006</v>
      </c>
      <c r="L60" s="5">
        <v>8.11</v>
      </c>
      <c r="M60" s="5">
        <v>1.65</v>
      </c>
      <c r="N60" s="5">
        <v>0.39</v>
      </c>
      <c r="O60" s="5">
        <v>0.05</v>
      </c>
      <c r="P60" s="5">
        <v>2.15</v>
      </c>
      <c r="Q60" s="5">
        <f t="shared" si="5"/>
        <v>98.48</v>
      </c>
      <c r="R60" s="5">
        <f t="shared" si="6"/>
        <v>64.377470244274946</v>
      </c>
      <c r="S60" s="5">
        <f t="shared" si="3"/>
        <v>1558.3072492800798</v>
      </c>
      <c r="T60" s="5"/>
      <c r="U60" s="5"/>
      <c r="V60" s="5"/>
      <c r="W60" s="5">
        <v>163</v>
      </c>
      <c r="X60" s="5">
        <v>154</v>
      </c>
      <c r="Y60" s="5">
        <v>59</v>
      </c>
      <c r="Z60" s="5">
        <v>75</v>
      </c>
      <c r="AA60" s="5"/>
      <c r="AB60" s="5"/>
      <c r="AC60" s="5">
        <v>11</v>
      </c>
      <c r="AD60" s="5">
        <v>14.6</v>
      </c>
      <c r="AE60" s="5">
        <v>198</v>
      </c>
      <c r="AF60" s="5">
        <v>12</v>
      </c>
      <c r="AG60" s="5">
        <v>38</v>
      </c>
      <c r="AH60" s="5">
        <v>1.4</v>
      </c>
      <c r="AI60" s="5"/>
      <c r="AJ60" s="5"/>
      <c r="AK60" s="5">
        <v>68</v>
      </c>
      <c r="AL60" s="5">
        <v>6.5</v>
      </c>
      <c r="AM60" s="5">
        <v>12.5</v>
      </c>
      <c r="AN60" s="5">
        <v>1.5</v>
      </c>
      <c r="AO60" s="5">
        <v>5.4</v>
      </c>
      <c r="AP60" s="5"/>
      <c r="AQ60" s="5">
        <v>0.33</v>
      </c>
      <c r="AR60" s="5">
        <v>1.17</v>
      </c>
      <c r="AS60" s="5">
        <v>0.21</v>
      </c>
      <c r="AT60" s="5">
        <v>1.51</v>
      </c>
      <c r="AU60" s="5">
        <v>0.39</v>
      </c>
      <c r="AV60" s="5">
        <v>1.23</v>
      </c>
      <c r="AW60" s="5">
        <v>0.22</v>
      </c>
      <c r="AX60" s="5">
        <v>1.54</v>
      </c>
      <c r="AY60" s="5">
        <v>0.27</v>
      </c>
      <c r="AZ60" s="5">
        <v>1</v>
      </c>
      <c r="BA60" s="5">
        <v>0.13</v>
      </c>
      <c r="BB60" s="5"/>
      <c r="BC60" s="5">
        <v>2.5</v>
      </c>
      <c r="BD60" s="5">
        <v>0.8</v>
      </c>
      <c r="BE60" s="5">
        <v>0.3</v>
      </c>
      <c r="BF60" s="5">
        <v>3.65</v>
      </c>
      <c r="BG60" s="5">
        <v>32.770000000000003</v>
      </c>
      <c r="BH60" s="5">
        <v>0.20753047793721</v>
      </c>
      <c r="BI60" s="5">
        <f t="shared" si="4"/>
        <v>50.669987499999998</v>
      </c>
      <c r="BJ60" s="5">
        <v>65.846153846153896</v>
      </c>
      <c r="BK60" s="5">
        <f t="shared" si="7"/>
        <v>3.0275631541454331</v>
      </c>
      <c r="BL60" s="5">
        <v>0.62849559199924199</v>
      </c>
      <c r="BM60" s="98">
        <v>1229.3923593026</v>
      </c>
      <c r="BN60" s="5">
        <v>0.74129404437319701</v>
      </c>
      <c r="BO60" s="6"/>
      <c r="BP60" s="6"/>
      <c r="BQ60" s="6"/>
      <c r="BR60" s="6"/>
      <c r="BS60" s="2" t="s">
        <v>295</v>
      </c>
      <c r="BT60" s="52" t="s">
        <v>329</v>
      </c>
    </row>
    <row r="61" spans="1:72">
      <c r="A61" s="2">
        <v>142194</v>
      </c>
      <c r="B61" s="2" t="s">
        <v>310</v>
      </c>
      <c r="C61" s="2" t="s">
        <v>327</v>
      </c>
      <c r="D61" s="2" t="s">
        <v>424</v>
      </c>
      <c r="E61" s="2">
        <v>2950</v>
      </c>
      <c r="F61" s="5">
        <v>53.51</v>
      </c>
      <c r="G61" s="5">
        <v>0.26</v>
      </c>
      <c r="H61" s="5">
        <v>17.12</v>
      </c>
      <c r="I61" s="5">
        <v>9.01</v>
      </c>
      <c r="J61" s="5">
        <v>0.16</v>
      </c>
      <c r="K61" s="5">
        <v>8.2200000000000006</v>
      </c>
      <c r="L61" s="5">
        <v>8.11</v>
      </c>
      <c r="M61" s="5">
        <v>1.65</v>
      </c>
      <c r="N61" s="5">
        <v>0.39</v>
      </c>
      <c r="O61" s="5">
        <v>0.05</v>
      </c>
      <c r="P61" s="5">
        <v>2.15</v>
      </c>
      <c r="Q61" s="5">
        <f t="shared" si="5"/>
        <v>98.48</v>
      </c>
      <c r="R61" s="5">
        <f t="shared" si="6"/>
        <v>64.377470244274946</v>
      </c>
      <c r="S61" s="5">
        <f t="shared" si="3"/>
        <v>1558.3072492800798</v>
      </c>
      <c r="T61" s="5"/>
      <c r="U61" s="5"/>
      <c r="V61" s="5"/>
      <c r="W61" s="5">
        <v>163</v>
      </c>
      <c r="X61" s="5">
        <v>153</v>
      </c>
      <c r="Y61" s="5"/>
      <c r="Z61" s="5">
        <v>74</v>
      </c>
      <c r="AA61" s="5"/>
      <c r="AB61" s="5"/>
      <c r="AC61" s="5"/>
      <c r="AD61" s="5">
        <v>14</v>
      </c>
      <c r="AE61" s="5">
        <v>198</v>
      </c>
      <c r="AF61" s="5">
        <v>11</v>
      </c>
      <c r="AG61" s="5">
        <v>37</v>
      </c>
      <c r="AH61" s="5">
        <v>1.42</v>
      </c>
      <c r="AI61" s="5"/>
      <c r="AJ61" s="5"/>
      <c r="AK61" s="5">
        <v>68</v>
      </c>
      <c r="AL61" s="5">
        <v>6.46</v>
      </c>
      <c r="AM61" s="5">
        <v>12.5</v>
      </c>
      <c r="AN61" s="5">
        <v>1.47</v>
      </c>
      <c r="AO61" s="5">
        <v>5.42</v>
      </c>
      <c r="AP61" s="5"/>
      <c r="AQ61" s="5">
        <v>0.33</v>
      </c>
      <c r="AR61" s="5">
        <v>1.17</v>
      </c>
      <c r="AS61" s="5">
        <v>0.21</v>
      </c>
      <c r="AT61" s="5">
        <v>1.51</v>
      </c>
      <c r="AU61" s="5">
        <v>0.39</v>
      </c>
      <c r="AV61" s="5">
        <v>1.23</v>
      </c>
      <c r="AW61" s="5">
        <v>0.22</v>
      </c>
      <c r="AX61" s="5">
        <v>1.54</v>
      </c>
      <c r="AY61" s="5">
        <v>0.27</v>
      </c>
      <c r="AZ61" s="5">
        <v>0.98</v>
      </c>
      <c r="BA61" s="5">
        <v>0.13</v>
      </c>
      <c r="BB61" s="5"/>
      <c r="BC61" s="5">
        <v>2</v>
      </c>
      <c r="BD61" s="5">
        <v>0.84</v>
      </c>
      <c r="BE61" s="5">
        <v>0.25</v>
      </c>
      <c r="BF61" s="5">
        <v>3.65</v>
      </c>
      <c r="BG61" s="5">
        <v>32.72</v>
      </c>
      <c r="BH61" s="5">
        <v>0.21179857489611301</v>
      </c>
      <c r="BI61" s="5">
        <f t="shared" si="4"/>
        <v>50.669987499999998</v>
      </c>
      <c r="BJ61" s="5">
        <v>65.846153846153896</v>
      </c>
      <c r="BK61" s="5">
        <f t="shared" si="7"/>
        <v>3.0089319962737688</v>
      </c>
      <c r="BL61" s="5">
        <v>0.62849559199924199</v>
      </c>
      <c r="BM61" s="98">
        <v>1229.3923593026</v>
      </c>
      <c r="BN61" s="5">
        <v>0.74129404437319701</v>
      </c>
      <c r="BO61" s="6"/>
      <c r="BP61" s="6"/>
      <c r="BQ61" s="6"/>
      <c r="BR61" s="6"/>
      <c r="BS61" s="2" t="s">
        <v>330</v>
      </c>
      <c r="BT61" s="52" t="s">
        <v>361</v>
      </c>
    </row>
    <row r="62" spans="1:72">
      <c r="A62" s="2">
        <v>142360</v>
      </c>
      <c r="B62" s="2" t="s">
        <v>310</v>
      </c>
      <c r="C62" s="2" t="s">
        <v>327</v>
      </c>
      <c r="D62" s="2" t="s">
        <v>424</v>
      </c>
      <c r="E62" s="2">
        <v>2950</v>
      </c>
      <c r="F62" s="5">
        <v>49.21</v>
      </c>
      <c r="G62" s="5">
        <v>0.17</v>
      </c>
      <c r="H62" s="5">
        <v>13.44</v>
      </c>
      <c r="I62" s="5">
        <v>9.42</v>
      </c>
      <c r="J62" s="5">
        <v>0.17</v>
      </c>
      <c r="K62" s="5">
        <v>16.059999999999999</v>
      </c>
      <c r="L62" s="5">
        <v>6.1</v>
      </c>
      <c r="M62" s="5">
        <v>0.63</v>
      </c>
      <c r="N62" s="5">
        <v>1.1599999999999999</v>
      </c>
      <c r="O62" s="5">
        <v>0.03</v>
      </c>
      <c r="P62" s="5">
        <v>3.99</v>
      </c>
      <c r="Q62" s="5">
        <f t="shared" si="5"/>
        <v>96.389999999999986</v>
      </c>
      <c r="R62" s="5">
        <f t="shared" si="6"/>
        <v>77.154344426534152</v>
      </c>
      <c r="S62" s="5">
        <f t="shared" si="3"/>
        <v>1018.89320145236</v>
      </c>
      <c r="T62" s="5"/>
      <c r="U62" s="5"/>
      <c r="V62" s="5"/>
      <c r="W62" s="5">
        <v>142.75</v>
      </c>
      <c r="X62" s="5">
        <v>1452.16</v>
      </c>
      <c r="Y62" s="5"/>
      <c r="Z62" s="5">
        <v>338.37</v>
      </c>
      <c r="AA62" s="5"/>
      <c r="AB62" s="5"/>
      <c r="AC62" s="5">
        <v>8.49</v>
      </c>
      <c r="AD62" s="5">
        <v>56.65</v>
      </c>
      <c r="AE62" s="5">
        <v>147.02000000000001</v>
      </c>
      <c r="AF62" s="5">
        <v>7.95</v>
      </c>
      <c r="AG62" s="5">
        <v>22.67</v>
      </c>
      <c r="AH62" s="5">
        <v>0.25</v>
      </c>
      <c r="AI62" s="5"/>
      <c r="AJ62" s="5"/>
      <c r="AK62" s="5">
        <v>188.08</v>
      </c>
      <c r="AL62" s="5">
        <v>3.33</v>
      </c>
      <c r="AM62" s="5">
        <v>6.76</v>
      </c>
      <c r="AN62" s="5">
        <v>0.81</v>
      </c>
      <c r="AO62" s="5">
        <v>3.06</v>
      </c>
      <c r="AP62" s="5"/>
      <c r="AQ62" s="5">
        <v>0.12</v>
      </c>
      <c r="AR62" s="5">
        <v>0.68</v>
      </c>
      <c r="AS62" s="5">
        <v>0.13</v>
      </c>
      <c r="AT62" s="5">
        <v>0.97</v>
      </c>
      <c r="AU62" s="5">
        <v>0.25</v>
      </c>
      <c r="AV62" s="5">
        <v>0.82</v>
      </c>
      <c r="AW62" s="5">
        <v>0.15</v>
      </c>
      <c r="AX62" s="5">
        <v>1.0900000000000001</v>
      </c>
      <c r="AY62" s="5">
        <v>0.18</v>
      </c>
      <c r="AZ62" s="5">
        <v>0.57999999999999996</v>
      </c>
      <c r="BA62" s="5">
        <v>0.04</v>
      </c>
      <c r="BB62" s="5"/>
      <c r="BC62" s="5">
        <v>1.39</v>
      </c>
      <c r="BD62" s="5">
        <v>0.53</v>
      </c>
      <c r="BE62" s="5">
        <v>0.18</v>
      </c>
      <c r="BF62" s="5">
        <v>2.4900000000000002</v>
      </c>
      <c r="BG62" s="5">
        <v>18.350000000000001</v>
      </c>
      <c r="BH62" s="5">
        <v>7.2337414553403298E-2</v>
      </c>
      <c r="BI62" s="5">
        <f t="shared" si="4"/>
        <v>49.859505882352941</v>
      </c>
      <c r="BJ62" s="5">
        <v>79.058823529411796</v>
      </c>
      <c r="BK62" s="5">
        <f t="shared" si="7"/>
        <v>2.1913831146208338</v>
      </c>
      <c r="BL62" s="5">
        <v>0.51608294828009604</v>
      </c>
      <c r="BM62" s="98">
        <v>1244.49590202335</v>
      </c>
      <c r="BN62" s="5">
        <v>0.99247796356366902</v>
      </c>
      <c r="BO62" s="6"/>
      <c r="BP62" s="6"/>
      <c r="BQ62" s="6"/>
      <c r="BR62" s="6"/>
      <c r="BS62" s="2" t="s">
        <v>295</v>
      </c>
      <c r="BT62" s="52" t="s">
        <v>328</v>
      </c>
    </row>
    <row r="63" spans="1:72">
      <c r="A63" s="2">
        <v>142360</v>
      </c>
      <c r="B63" s="2" t="s">
        <v>310</v>
      </c>
      <c r="C63" s="2" t="s">
        <v>327</v>
      </c>
      <c r="D63" s="2" t="s">
        <v>424</v>
      </c>
      <c r="E63" s="2">
        <v>2950</v>
      </c>
      <c r="F63" s="5">
        <v>49.21</v>
      </c>
      <c r="G63" s="5">
        <v>0.17</v>
      </c>
      <c r="H63" s="5">
        <v>13.44</v>
      </c>
      <c r="I63" s="5">
        <v>9.42</v>
      </c>
      <c r="J63" s="5">
        <v>0.17</v>
      </c>
      <c r="K63" s="5">
        <v>16.059999999999999</v>
      </c>
      <c r="L63" s="5">
        <v>6.1</v>
      </c>
      <c r="M63" s="5">
        <v>0.63</v>
      </c>
      <c r="N63" s="5">
        <v>1.1599999999999999</v>
      </c>
      <c r="O63" s="5">
        <v>0.03</v>
      </c>
      <c r="P63" s="5">
        <v>3.99</v>
      </c>
      <c r="Q63" s="5">
        <f t="shared" si="5"/>
        <v>96.389999999999986</v>
      </c>
      <c r="R63" s="5">
        <f t="shared" si="6"/>
        <v>77.154344426534152</v>
      </c>
      <c r="S63" s="5">
        <f t="shared" si="3"/>
        <v>1018.89320145236</v>
      </c>
      <c r="T63" s="5"/>
      <c r="U63" s="5"/>
      <c r="V63" s="5"/>
      <c r="W63" s="5">
        <v>142</v>
      </c>
      <c r="X63" s="5">
        <v>1452</v>
      </c>
      <c r="Y63" s="5"/>
      <c r="Z63" s="5">
        <v>338</v>
      </c>
      <c r="AA63" s="5"/>
      <c r="AB63" s="5"/>
      <c r="AC63" s="5"/>
      <c r="AD63" s="5">
        <v>56</v>
      </c>
      <c r="AE63" s="5">
        <v>147</v>
      </c>
      <c r="AF63" s="5">
        <v>8</v>
      </c>
      <c r="AG63" s="5">
        <v>23</v>
      </c>
      <c r="AH63" s="5">
        <v>0.25</v>
      </c>
      <c r="AI63" s="5"/>
      <c r="AJ63" s="5"/>
      <c r="AK63" s="5">
        <v>188</v>
      </c>
      <c r="AL63" s="5">
        <v>3.33</v>
      </c>
      <c r="AM63" s="5">
        <v>6.76</v>
      </c>
      <c r="AN63" s="5">
        <v>0.81</v>
      </c>
      <c r="AO63" s="5">
        <v>3.06</v>
      </c>
      <c r="AP63" s="5"/>
      <c r="AQ63" s="5">
        <v>0.12</v>
      </c>
      <c r="AR63" s="5">
        <v>0.68</v>
      </c>
      <c r="AS63" s="5">
        <v>0.13</v>
      </c>
      <c r="AT63" s="5">
        <v>0.97</v>
      </c>
      <c r="AU63" s="5">
        <v>0.25</v>
      </c>
      <c r="AV63" s="5">
        <v>0.82</v>
      </c>
      <c r="AW63" s="5">
        <v>0.15</v>
      </c>
      <c r="AX63" s="5">
        <v>1.0900000000000001</v>
      </c>
      <c r="AY63" s="5">
        <v>0.18</v>
      </c>
      <c r="AZ63" s="5">
        <v>0.57999999999999996</v>
      </c>
      <c r="BA63" s="5">
        <v>0.04</v>
      </c>
      <c r="BB63" s="5"/>
      <c r="BC63" s="5">
        <v>1</v>
      </c>
      <c r="BD63" s="5">
        <v>0.53</v>
      </c>
      <c r="BE63" s="5">
        <v>0.18</v>
      </c>
      <c r="BF63" s="5">
        <v>2.4900000000000002</v>
      </c>
      <c r="BG63" s="5">
        <v>18.350000000000001</v>
      </c>
      <c r="BH63" s="5">
        <v>7.2337414553403298E-2</v>
      </c>
      <c r="BI63" s="5">
        <f t="shared" si="4"/>
        <v>49.859505882352941</v>
      </c>
      <c r="BJ63" s="5">
        <v>79.058823529411796</v>
      </c>
      <c r="BK63" s="5">
        <f t="shared" si="7"/>
        <v>2.1913831146208338</v>
      </c>
      <c r="BL63" s="5">
        <v>0.51608294828009604</v>
      </c>
      <c r="BM63" s="98">
        <v>1244.49590202335</v>
      </c>
      <c r="BN63" s="5">
        <v>0.99247796356366902</v>
      </c>
      <c r="BO63" s="6"/>
      <c r="BP63" s="6"/>
      <c r="BQ63" s="6"/>
      <c r="BR63" s="6"/>
      <c r="BS63" s="2" t="s">
        <v>330</v>
      </c>
      <c r="BT63" s="52" t="s">
        <v>361</v>
      </c>
    </row>
    <row r="64" spans="1:72">
      <c r="A64" s="2">
        <v>81364</v>
      </c>
      <c r="B64" s="2" t="s">
        <v>310</v>
      </c>
      <c r="C64" s="2" t="s">
        <v>309</v>
      </c>
      <c r="D64" s="2" t="s">
        <v>424</v>
      </c>
      <c r="E64" s="2">
        <v>2805</v>
      </c>
      <c r="F64" s="5">
        <v>50.75</v>
      </c>
      <c r="G64" s="5">
        <v>0.48</v>
      </c>
      <c r="H64" s="5">
        <v>13.11</v>
      </c>
      <c r="I64" s="5">
        <v>11.44</v>
      </c>
      <c r="J64" s="5">
        <v>0.2</v>
      </c>
      <c r="K64" s="5">
        <v>10.06</v>
      </c>
      <c r="L64" s="5">
        <v>12.31</v>
      </c>
      <c r="M64" s="5">
        <v>0.06</v>
      </c>
      <c r="N64" s="5">
        <v>0.85</v>
      </c>
      <c r="O64" s="5">
        <v>4.4999999999999998E-2</v>
      </c>
      <c r="P64" s="5"/>
      <c r="Q64" s="5">
        <f t="shared" si="5"/>
        <v>99.305000000000007</v>
      </c>
      <c r="R64" s="5">
        <f t="shared" si="6"/>
        <v>63.52951913633683</v>
      </c>
      <c r="S64" s="5">
        <f t="shared" si="3"/>
        <v>2876.8749217478403</v>
      </c>
      <c r="T64" s="5"/>
      <c r="U64" s="5"/>
      <c r="V64" s="5">
        <v>42</v>
      </c>
      <c r="W64" s="5">
        <v>232</v>
      </c>
      <c r="X64" s="5">
        <v>687</v>
      </c>
      <c r="Y64" s="5"/>
      <c r="Z64" s="5"/>
      <c r="AA64" s="5">
        <v>83.4</v>
      </c>
      <c r="AB64" s="5">
        <v>74</v>
      </c>
      <c r="AC64" s="5">
        <v>10.8</v>
      </c>
      <c r="AD64" s="5">
        <v>0.6</v>
      </c>
      <c r="AE64" s="5">
        <v>153.5</v>
      </c>
      <c r="AF64" s="5">
        <v>13.7</v>
      </c>
      <c r="AG64" s="5">
        <v>27</v>
      </c>
      <c r="AH64" s="5">
        <v>0.9</v>
      </c>
      <c r="AI64" s="5"/>
      <c r="AJ64" s="5"/>
      <c r="AK64" s="5">
        <v>20.5</v>
      </c>
      <c r="AL64" s="5">
        <v>1.9</v>
      </c>
      <c r="AM64" s="5">
        <v>4.4000000000000004</v>
      </c>
      <c r="AN64" s="5">
        <v>0.7</v>
      </c>
      <c r="AO64" s="5">
        <v>2.7</v>
      </c>
      <c r="AP64" s="5">
        <v>1.3</v>
      </c>
      <c r="AQ64" s="5">
        <v>0.5</v>
      </c>
      <c r="AR64" s="5">
        <v>2</v>
      </c>
      <c r="AS64" s="5">
        <v>0.4</v>
      </c>
      <c r="AT64" s="5">
        <v>2.2999999999999998</v>
      </c>
      <c r="AU64" s="5">
        <v>0.5</v>
      </c>
      <c r="AV64" s="5">
        <v>1.5</v>
      </c>
      <c r="AW64" s="5">
        <v>0.2</v>
      </c>
      <c r="AX64" s="5">
        <v>1.7</v>
      </c>
      <c r="AY64" s="5">
        <v>0.3</v>
      </c>
      <c r="AZ64" s="5">
        <v>0.8</v>
      </c>
      <c r="BA64" s="5">
        <v>0.2</v>
      </c>
      <c r="BB64" s="5"/>
      <c r="BC64" s="5"/>
      <c r="BD64" s="5">
        <v>0.4</v>
      </c>
      <c r="BE64" s="5">
        <v>0.1</v>
      </c>
      <c r="BF64" s="5">
        <v>4.2</v>
      </c>
      <c r="BG64" s="5">
        <v>20.399999999999999</v>
      </c>
      <c r="BH64" s="5">
        <v>0.45641101350852598</v>
      </c>
      <c r="BI64" s="5">
        <f t="shared" si="4"/>
        <v>51.468559999999997</v>
      </c>
      <c r="BJ64" s="5">
        <v>27.3125</v>
      </c>
      <c r="BK64" s="5">
        <f t="shared" si="7"/>
        <v>0.80168776371308037</v>
      </c>
      <c r="BL64" s="5">
        <v>0.97323600973236002</v>
      </c>
      <c r="BM64" s="98">
        <v>1288.11737760455</v>
      </c>
      <c r="BN64" s="5">
        <v>1.0173658380804</v>
      </c>
      <c r="BO64" s="6">
        <v>0.21</v>
      </c>
      <c r="BP64" s="6">
        <f>(BN64-1)*0.4+BO64</f>
        <v>0.21694633523216</v>
      </c>
      <c r="BQ64" s="6"/>
      <c r="BR64" s="6"/>
      <c r="BS64" s="2" t="s">
        <v>295</v>
      </c>
      <c r="BT64" s="52" t="s">
        <v>328</v>
      </c>
    </row>
    <row r="65" spans="1:72">
      <c r="A65" s="2">
        <v>83273</v>
      </c>
      <c r="B65" s="2" t="s">
        <v>310</v>
      </c>
      <c r="C65" s="2" t="s">
        <v>309</v>
      </c>
      <c r="D65" s="2" t="s">
        <v>424</v>
      </c>
      <c r="E65" s="2">
        <v>2805</v>
      </c>
      <c r="F65" s="5">
        <v>51.55</v>
      </c>
      <c r="G65" s="5">
        <v>0.5</v>
      </c>
      <c r="H65" s="5">
        <v>14.08</v>
      </c>
      <c r="I65" s="5">
        <v>10.4</v>
      </c>
      <c r="J65" s="5">
        <v>0.17</v>
      </c>
      <c r="K65" s="5">
        <v>8.94</v>
      </c>
      <c r="L65" s="5">
        <v>11.93</v>
      </c>
      <c r="M65" s="5">
        <v>0.06</v>
      </c>
      <c r="N65" s="5">
        <v>1.33</v>
      </c>
      <c r="O65" s="5">
        <v>4.1000000000000002E-2</v>
      </c>
      <c r="P65" s="5"/>
      <c r="Q65" s="5">
        <f t="shared" si="5"/>
        <v>99.000999999999991</v>
      </c>
      <c r="R65" s="5">
        <f t="shared" si="6"/>
        <v>63.001474737508204</v>
      </c>
      <c r="S65" s="5">
        <f t="shared" si="3"/>
        <v>2996.7447101540001</v>
      </c>
      <c r="T65" s="5"/>
      <c r="U65" s="5"/>
      <c r="V65" s="5">
        <v>40</v>
      </c>
      <c r="W65" s="5">
        <v>223</v>
      </c>
      <c r="X65" s="5">
        <v>499</v>
      </c>
      <c r="Y65" s="5"/>
      <c r="Z65" s="5"/>
      <c r="AA65" s="5">
        <v>62.8</v>
      </c>
      <c r="AB65" s="5">
        <v>66</v>
      </c>
      <c r="AC65" s="5">
        <v>13</v>
      </c>
      <c r="AD65" s="5">
        <v>1.4</v>
      </c>
      <c r="AE65" s="5">
        <v>51.4</v>
      </c>
      <c r="AF65" s="5">
        <v>14.1</v>
      </c>
      <c r="AG65" s="5">
        <v>32</v>
      </c>
      <c r="AH65" s="5">
        <v>1.2</v>
      </c>
      <c r="AI65" s="5"/>
      <c r="AJ65" s="5"/>
      <c r="AK65" s="5">
        <v>26.7</v>
      </c>
      <c r="AL65" s="5">
        <v>3</v>
      </c>
      <c r="AM65" s="5">
        <v>5.8</v>
      </c>
      <c r="AN65" s="5">
        <v>0.8</v>
      </c>
      <c r="AO65" s="5">
        <v>4.2</v>
      </c>
      <c r="AP65" s="5">
        <v>1.1000000000000001</v>
      </c>
      <c r="AQ65" s="5">
        <v>0.6</v>
      </c>
      <c r="AR65" s="5">
        <v>1.6</v>
      </c>
      <c r="AS65" s="5">
        <v>0.4</v>
      </c>
      <c r="AT65" s="5">
        <v>2.4</v>
      </c>
      <c r="AU65" s="5">
        <v>0.6</v>
      </c>
      <c r="AV65" s="5">
        <v>1.5</v>
      </c>
      <c r="AW65" s="5">
        <v>0.2</v>
      </c>
      <c r="AX65" s="5">
        <v>1.8</v>
      </c>
      <c r="AY65" s="5">
        <v>0.3</v>
      </c>
      <c r="AZ65" s="5">
        <v>0.9</v>
      </c>
      <c r="BA65" s="5">
        <v>0.2</v>
      </c>
      <c r="BB65" s="5"/>
      <c r="BC65" s="5"/>
      <c r="BD65" s="5">
        <v>0.9</v>
      </c>
      <c r="BE65" s="5">
        <v>0.2</v>
      </c>
      <c r="BF65" s="5">
        <v>4.4000000000000004</v>
      </c>
      <c r="BG65" s="5">
        <v>24.3</v>
      </c>
      <c r="BH65" s="5">
        <v>0.38541374474053303</v>
      </c>
      <c r="BI65" s="5">
        <f t="shared" si="4"/>
        <v>55.046588235294116</v>
      </c>
      <c r="BJ65" s="5">
        <v>28.16</v>
      </c>
      <c r="BK65" s="5">
        <f t="shared" si="7"/>
        <v>1.1954992967651197</v>
      </c>
      <c r="BL65" s="5">
        <v>0.73533387402000505</v>
      </c>
      <c r="BM65" s="98">
        <v>1283.5190072549599</v>
      </c>
      <c r="BN65" s="5">
        <v>1.02583258810183</v>
      </c>
      <c r="BO65" s="6">
        <v>0.61099999999989096</v>
      </c>
      <c r="BP65" s="6">
        <f>(BN65-1)*0.4+BO65</f>
        <v>0.621333035240623</v>
      </c>
      <c r="BQ65" s="6"/>
      <c r="BR65" s="6"/>
      <c r="BS65" s="2" t="s">
        <v>295</v>
      </c>
      <c r="BT65" s="52" t="s">
        <v>328</v>
      </c>
    </row>
    <row r="66" spans="1:72">
      <c r="A66" s="2">
        <v>81334</v>
      </c>
      <c r="B66" s="2" t="s">
        <v>310</v>
      </c>
      <c r="C66" s="2" t="s">
        <v>338</v>
      </c>
      <c r="D66" s="2" t="s">
        <v>424</v>
      </c>
      <c r="E66" s="2">
        <v>2800</v>
      </c>
      <c r="F66" s="5">
        <v>53.27</v>
      </c>
      <c r="G66" s="5">
        <v>0.47</v>
      </c>
      <c r="H66" s="5">
        <v>12.79</v>
      </c>
      <c r="I66" s="5">
        <v>9.7200000000000006</v>
      </c>
      <c r="J66" s="5">
        <v>0.18</v>
      </c>
      <c r="K66" s="5">
        <v>11.04</v>
      </c>
      <c r="L66" s="5">
        <v>8.9</v>
      </c>
      <c r="M66" s="5">
        <v>0.24</v>
      </c>
      <c r="N66" s="5">
        <v>1.79</v>
      </c>
      <c r="O66" s="5">
        <v>0.05</v>
      </c>
      <c r="P66" s="5"/>
      <c r="Q66" s="5">
        <f t="shared" si="5"/>
        <v>98.45</v>
      </c>
      <c r="R66" s="5">
        <f t="shared" si="6"/>
        <v>69.229906580808589</v>
      </c>
      <c r="S66" s="5">
        <f t="shared" si="3"/>
        <v>2816.9400275447601</v>
      </c>
      <c r="T66" s="5"/>
      <c r="U66" s="5"/>
      <c r="V66" s="5">
        <v>38</v>
      </c>
      <c r="W66" s="5">
        <v>246</v>
      </c>
      <c r="X66" s="5">
        <v>911</v>
      </c>
      <c r="Y66" s="5"/>
      <c r="Z66" s="5"/>
      <c r="AA66" s="5">
        <v>11.6</v>
      </c>
      <c r="AB66" s="5">
        <v>70</v>
      </c>
      <c r="AC66" s="5">
        <v>11.5</v>
      </c>
      <c r="AD66" s="5">
        <v>9.9</v>
      </c>
      <c r="AE66" s="5">
        <v>57.4</v>
      </c>
      <c r="AF66" s="5">
        <v>13.9</v>
      </c>
      <c r="AG66" s="5">
        <v>36</v>
      </c>
      <c r="AH66" s="5">
        <v>0.8</v>
      </c>
      <c r="AI66" s="5"/>
      <c r="AJ66" s="5"/>
      <c r="AK66" s="5">
        <v>128.6</v>
      </c>
      <c r="AL66" s="5">
        <v>2.2000000000000002</v>
      </c>
      <c r="AM66" s="5">
        <v>5.0999999999999996</v>
      </c>
      <c r="AN66" s="5">
        <v>0.8</v>
      </c>
      <c r="AO66" s="5">
        <v>3.1</v>
      </c>
      <c r="AP66" s="5">
        <v>1.3</v>
      </c>
      <c r="AQ66" s="5">
        <v>0.4</v>
      </c>
      <c r="AR66" s="5">
        <v>1.5</v>
      </c>
      <c r="AS66" s="5">
        <v>0.3</v>
      </c>
      <c r="AT66" s="5">
        <v>2.2999999999999998</v>
      </c>
      <c r="AU66" s="5">
        <v>0.5</v>
      </c>
      <c r="AV66" s="5">
        <v>1.8</v>
      </c>
      <c r="AW66" s="5">
        <v>0.2</v>
      </c>
      <c r="AX66" s="5">
        <v>1.6</v>
      </c>
      <c r="AY66" s="5">
        <v>0.2</v>
      </c>
      <c r="AZ66" s="5">
        <v>1.1000000000000001</v>
      </c>
      <c r="BA66" s="5">
        <v>0.1</v>
      </c>
      <c r="BB66" s="5"/>
      <c r="BC66" s="5"/>
      <c r="BD66" s="5">
        <v>0.6</v>
      </c>
      <c r="BE66" s="5">
        <v>0.2</v>
      </c>
      <c r="BF66" s="5">
        <v>4.3</v>
      </c>
      <c r="BG66" s="5">
        <v>21.3</v>
      </c>
      <c r="BH66" s="5">
        <v>0.35037613158230302</v>
      </c>
      <c r="BI66" s="5">
        <f t="shared" si="4"/>
        <v>48.589200000000005</v>
      </c>
      <c r="BJ66" s="5">
        <v>27.212765957446798</v>
      </c>
      <c r="BK66" s="5">
        <f t="shared" si="7"/>
        <v>0.98628691983122363</v>
      </c>
      <c r="BL66" s="5">
        <v>0.77554744525547403</v>
      </c>
      <c r="BM66" s="98">
        <v>1220.24824055149</v>
      </c>
      <c r="BN66" s="5">
        <v>0.64745753279552598</v>
      </c>
      <c r="BO66" s="6">
        <v>1.7639999999998099</v>
      </c>
      <c r="BP66" s="6">
        <f>(BN66-1)*0.4+BO66</f>
        <v>1.6229830131180203</v>
      </c>
      <c r="BQ66" s="6"/>
      <c r="BR66" s="6"/>
      <c r="BS66" s="2" t="s">
        <v>295</v>
      </c>
      <c r="BT66" s="52" t="s">
        <v>328</v>
      </c>
    </row>
    <row r="67" spans="1:72">
      <c r="A67" s="2" t="s">
        <v>318</v>
      </c>
      <c r="B67" s="2" t="s">
        <v>447</v>
      </c>
      <c r="C67" s="2" t="s">
        <v>311</v>
      </c>
      <c r="D67" s="2" t="s">
        <v>449</v>
      </c>
      <c r="E67" s="2">
        <v>2700</v>
      </c>
      <c r="F67" s="5">
        <v>51.08</v>
      </c>
      <c r="G67" s="5">
        <v>0.24</v>
      </c>
      <c r="H67" s="5">
        <v>11.99</v>
      </c>
      <c r="I67" s="5">
        <v>9.9600000000000009</v>
      </c>
      <c r="J67" s="5">
        <v>0.13</v>
      </c>
      <c r="K67" s="5">
        <v>12.94</v>
      </c>
      <c r="L67" s="5">
        <v>12.02</v>
      </c>
      <c r="M67" s="5">
        <v>1.1499999999999999</v>
      </c>
      <c r="N67" s="5">
        <v>0.45</v>
      </c>
      <c r="O67" s="5">
        <v>0.03</v>
      </c>
      <c r="P67" s="5">
        <v>4.6500000000000004</v>
      </c>
      <c r="Q67" s="5">
        <f t="shared" si="5"/>
        <v>99.990000000000009</v>
      </c>
      <c r="R67" s="5">
        <f t="shared" si="6"/>
        <v>72.016828616286659</v>
      </c>
      <c r="S67" s="5">
        <f t="shared" si="3"/>
        <v>1438.4374608739201</v>
      </c>
      <c r="T67" s="5"/>
      <c r="U67" s="5"/>
      <c r="V67" s="5"/>
      <c r="W67" s="5">
        <v>60</v>
      </c>
      <c r="X67" s="5">
        <v>1350</v>
      </c>
      <c r="Y67" s="5">
        <v>65</v>
      </c>
      <c r="Z67" s="5">
        <v>550</v>
      </c>
      <c r="AA67" s="5"/>
      <c r="AB67" s="5"/>
      <c r="AC67" s="5"/>
      <c r="AD67" s="5">
        <v>48</v>
      </c>
      <c r="AE67" s="5">
        <v>68</v>
      </c>
      <c r="AF67" s="5">
        <v>12</v>
      </c>
      <c r="AG67" s="5">
        <v>13</v>
      </c>
      <c r="AH67" s="5">
        <v>0.31</v>
      </c>
      <c r="AI67" s="5"/>
      <c r="AJ67" s="5">
        <v>5.5</v>
      </c>
      <c r="AK67" s="5">
        <v>69</v>
      </c>
      <c r="AL67" s="5">
        <v>1.57</v>
      </c>
      <c r="AM67" s="5">
        <v>3.23</v>
      </c>
      <c r="AN67" s="5">
        <v>0.44</v>
      </c>
      <c r="AO67" s="5">
        <v>1.95</v>
      </c>
      <c r="AP67" s="5"/>
      <c r="AQ67" s="5">
        <v>0.28000000000000003</v>
      </c>
      <c r="AR67" s="5">
        <v>0.91</v>
      </c>
      <c r="AS67" s="5">
        <v>0.22</v>
      </c>
      <c r="AT67" s="5">
        <v>1.58</v>
      </c>
      <c r="AU67" s="5">
        <v>0.43</v>
      </c>
      <c r="AV67" s="5">
        <v>1.3</v>
      </c>
      <c r="AW67" s="5">
        <v>0.11</v>
      </c>
      <c r="AX67" s="5">
        <v>1.3</v>
      </c>
      <c r="AY67" s="5">
        <v>0.22</v>
      </c>
      <c r="AZ67" s="5">
        <v>0.32</v>
      </c>
      <c r="BA67" s="5">
        <v>0.02</v>
      </c>
      <c r="BB67" s="5"/>
      <c r="BC67" s="5">
        <v>12.6</v>
      </c>
      <c r="BD67" s="5">
        <v>0.15</v>
      </c>
      <c r="BE67" s="5">
        <v>0.14000000000000001</v>
      </c>
      <c r="BF67" s="5">
        <v>3.36</v>
      </c>
      <c r="BG67" s="5">
        <v>13.54</v>
      </c>
      <c r="BH67" s="5">
        <v>0.19025200775408499</v>
      </c>
      <c r="BI67" s="5">
        <f t="shared" si="4"/>
        <v>68.938523076923076</v>
      </c>
      <c r="BJ67" s="5">
        <v>49.9583333333333</v>
      </c>
      <c r="BK67" s="5">
        <f t="shared" si="7"/>
        <v>0.86627718273287901</v>
      </c>
      <c r="BL67" s="5">
        <v>0.57907542579075399</v>
      </c>
      <c r="BM67" s="98">
        <v>1269.713</v>
      </c>
      <c r="BN67" s="5">
        <v>1.0330872799999999</v>
      </c>
      <c r="BO67" s="6"/>
      <c r="BP67" s="6"/>
      <c r="BQ67" s="6"/>
      <c r="BR67" s="6"/>
      <c r="BS67" s="2" t="s">
        <v>317</v>
      </c>
      <c r="BT67" s="52" t="s">
        <v>481</v>
      </c>
    </row>
    <row r="68" spans="1:72">
      <c r="A68" s="2" t="s">
        <v>320</v>
      </c>
      <c r="B68" s="2" t="s">
        <v>447</v>
      </c>
      <c r="C68" s="2" t="s">
        <v>311</v>
      </c>
      <c r="D68" s="2" t="s">
        <v>449</v>
      </c>
      <c r="E68" s="2">
        <v>2700</v>
      </c>
      <c r="F68" s="5">
        <v>49.9</v>
      </c>
      <c r="G68" s="5">
        <v>0.3</v>
      </c>
      <c r="H68" s="5">
        <v>14.1</v>
      </c>
      <c r="I68" s="5">
        <v>10.17</v>
      </c>
      <c r="J68" s="5">
        <v>0.13</v>
      </c>
      <c r="K68" s="5">
        <v>12.51</v>
      </c>
      <c r="L68" s="5">
        <v>11.37</v>
      </c>
      <c r="M68" s="5">
        <v>0.96</v>
      </c>
      <c r="N68" s="5">
        <v>0.51</v>
      </c>
      <c r="O68" s="5">
        <v>0.05</v>
      </c>
      <c r="P68" s="5">
        <v>4.74</v>
      </c>
      <c r="Q68" s="5">
        <f t="shared" si="5"/>
        <v>100</v>
      </c>
      <c r="R68" s="5">
        <f t="shared" si="6"/>
        <v>70.902148819037464</v>
      </c>
      <c r="S68" s="5">
        <f t="shared" si="3"/>
        <v>1798.0468260924001</v>
      </c>
      <c r="T68" s="5"/>
      <c r="U68" s="5"/>
      <c r="V68" s="5"/>
      <c r="W68" s="5">
        <v>102</v>
      </c>
      <c r="X68" s="5">
        <v>943</v>
      </c>
      <c r="Y68" s="5">
        <v>63</v>
      </c>
      <c r="Z68" s="5">
        <v>423</v>
      </c>
      <c r="AA68" s="5"/>
      <c r="AB68" s="5"/>
      <c r="AC68" s="5"/>
      <c r="AD68" s="5">
        <v>240</v>
      </c>
      <c r="AE68" s="5">
        <v>142</v>
      </c>
      <c r="AF68" s="5">
        <v>17</v>
      </c>
      <c r="AG68" s="5">
        <v>23</v>
      </c>
      <c r="AH68" s="5">
        <v>0.95</v>
      </c>
      <c r="AI68" s="5"/>
      <c r="AJ68" s="5">
        <v>25.8</v>
      </c>
      <c r="AK68" s="5">
        <v>80</v>
      </c>
      <c r="AL68" s="5">
        <v>2.9</v>
      </c>
      <c r="AM68" s="5">
        <v>6.02</v>
      </c>
      <c r="AN68" s="5">
        <v>0.79</v>
      </c>
      <c r="AO68" s="5">
        <v>3.24</v>
      </c>
      <c r="AP68" s="5"/>
      <c r="AQ68" s="5">
        <v>0.36</v>
      </c>
      <c r="AR68" s="5">
        <v>1.49</v>
      </c>
      <c r="AS68" s="5">
        <v>0.32</v>
      </c>
      <c r="AT68" s="5">
        <v>2.5</v>
      </c>
      <c r="AU68" s="5">
        <v>0.61</v>
      </c>
      <c r="AV68" s="5">
        <v>1.73</v>
      </c>
      <c r="AW68" s="5">
        <v>0.28999999999999998</v>
      </c>
      <c r="AX68" s="5">
        <v>1.92</v>
      </c>
      <c r="AY68" s="5">
        <v>0.3</v>
      </c>
      <c r="AZ68" s="5">
        <v>0.72</v>
      </c>
      <c r="BA68" s="5">
        <v>0.1</v>
      </c>
      <c r="BB68" s="5"/>
      <c r="BC68" s="5">
        <v>3.1</v>
      </c>
      <c r="BD68" s="5">
        <v>0.73</v>
      </c>
      <c r="BE68" s="5">
        <v>0.23</v>
      </c>
      <c r="BF68" s="5">
        <v>4.8499999999999996</v>
      </c>
      <c r="BG68" s="5">
        <v>22.47</v>
      </c>
      <c r="BH68" s="5">
        <v>0.315640566813367</v>
      </c>
      <c r="BI68" s="5">
        <f t="shared" si="4"/>
        <v>70.392046153846152</v>
      </c>
      <c r="BJ68" s="5">
        <v>47</v>
      </c>
      <c r="BK68" s="5">
        <f t="shared" si="7"/>
        <v>1.0834212376933898</v>
      </c>
      <c r="BL68" s="5">
        <v>0.64198094079480905</v>
      </c>
      <c r="BM68" s="98">
        <v>1277.25</v>
      </c>
      <c r="BN68" s="5">
        <v>1.17506855</v>
      </c>
      <c r="BO68" s="6"/>
      <c r="BP68" s="6"/>
      <c r="BQ68" s="6"/>
      <c r="BR68" s="6"/>
      <c r="BS68" s="2" t="s">
        <v>317</v>
      </c>
      <c r="BT68" s="52" t="s">
        <v>319</v>
      </c>
    </row>
    <row r="69" spans="1:72">
      <c r="A69" s="2" t="s">
        <v>321</v>
      </c>
      <c r="B69" s="2" t="s">
        <v>447</v>
      </c>
      <c r="C69" s="2" t="s">
        <v>311</v>
      </c>
      <c r="D69" s="2" t="s">
        <v>449</v>
      </c>
      <c r="E69" s="2">
        <v>2700</v>
      </c>
      <c r="F69" s="5">
        <v>50.84</v>
      </c>
      <c r="G69" s="5">
        <v>0.27</v>
      </c>
      <c r="H69" s="5">
        <v>11.53</v>
      </c>
      <c r="I69" s="5">
        <v>10.75</v>
      </c>
      <c r="J69" s="5">
        <v>0.14000000000000001</v>
      </c>
      <c r="K69" s="5">
        <v>14.12</v>
      </c>
      <c r="L69" s="5">
        <v>10.76</v>
      </c>
      <c r="M69" s="5">
        <v>0.95</v>
      </c>
      <c r="N69" s="5">
        <v>0.6</v>
      </c>
      <c r="O69" s="5">
        <v>0.04</v>
      </c>
      <c r="P69" s="5">
        <v>4.21</v>
      </c>
      <c r="Q69" s="5">
        <f t="shared" si="5"/>
        <v>100.00000000000003</v>
      </c>
      <c r="R69" s="5">
        <f t="shared" si="6"/>
        <v>72.236771249882665</v>
      </c>
      <c r="S69" s="5">
        <f t="shared" si="3"/>
        <v>1618.2421434831601</v>
      </c>
      <c r="T69" s="5"/>
      <c r="U69" s="5"/>
      <c r="V69" s="5"/>
      <c r="W69" s="5">
        <v>94</v>
      </c>
      <c r="X69" s="5">
        <v>1349</v>
      </c>
      <c r="Y69" s="5">
        <v>61</v>
      </c>
      <c r="Z69" s="5">
        <v>489</v>
      </c>
      <c r="AA69" s="5"/>
      <c r="AB69" s="5"/>
      <c r="AC69" s="5"/>
      <c r="AD69" s="5">
        <v>236</v>
      </c>
      <c r="AE69" s="5">
        <v>77</v>
      </c>
      <c r="AF69" s="5">
        <v>15</v>
      </c>
      <c r="AG69" s="5">
        <v>21</v>
      </c>
      <c r="AH69" s="5">
        <v>1.07</v>
      </c>
      <c r="AI69" s="5"/>
      <c r="AJ69" s="5">
        <v>29.7</v>
      </c>
      <c r="AK69" s="5">
        <v>90</v>
      </c>
      <c r="AL69" s="5">
        <v>2.96</v>
      </c>
      <c r="AM69" s="5">
        <v>6.19</v>
      </c>
      <c r="AN69" s="5">
        <v>0.78</v>
      </c>
      <c r="AO69" s="5">
        <v>3.13</v>
      </c>
      <c r="AP69" s="5"/>
      <c r="AQ69" s="5">
        <v>0.39</v>
      </c>
      <c r="AR69" s="5">
        <v>1.31</v>
      </c>
      <c r="AS69" s="5">
        <v>0.28999999999999998</v>
      </c>
      <c r="AT69" s="5">
        <v>2.2599999999999998</v>
      </c>
      <c r="AU69" s="5">
        <v>0.55000000000000004</v>
      </c>
      <c r="AV69" s="5">
        <v>1.55</v>
      </c>
      <c r="AW69" s="5">
        <v>0.26</v>
      </c>
      <c r="AX69" s="5">
        <v>1.72</v>
      </c>
      <c r="AY69" s="5">
        <v>0.26</v>
      </c>
      <c r="AZ69" s="5">
        <v>0.67</v>
      </c>
      <c r="BA69" s="5">
        <v>0.09</v>
      </c>
      <c r="BB69" s="5"/>
      <c r="BC69" s="5">
        <v>3.2</v>
      </c>
      <c r="BD69" s="5">
        <v>0.68</v>
      </c>
      <c r="BE69" s="5">
        <v>0.25</v>
      </c>
      <c r="BF69" s="5">
        <v>4.34</v>
      </c>
      <c r="BG69" s="5">
        <v>21.65</v>
      </c>
      <c r="BH69" s="5">
        <v>0.34830465107463698</v>
      </c>
      <c r="BI69" s="5">
        <f t="shared" si="4"/>
        <v>69.091785714285706</v>
      </c>
      <c r="BJ69" s="5">
        <v>42.703703703703702</v>
      </c>
      <c r="BK69" s="5">
        <f t="shared" si="7"/>
        <v>1.2344225296830538</v>
      </c>
      <c r="BL69" s="5">
        <v>0.63005714932382695</v>
      </c>
      <c r="BM69" s="98">
        <v>1291.7819999999999</v>
      </c>
      <c r="BN69" s="5">
        <v>1.1670874600000001</v>
      </c>
      <c r="BO69" s="6"/>
      <c r="BP69" s="6"/>
      <c r="BQ69" s="6"/>
      <c r="BR69" s="6"/>
      <c r="BS69" s="2" t="s">
        <v>317</v>
      </c>
      <c r="BT69" s="52" t="s">
        <v>319</v>
      </c>
    </row>
    <row r="70" spans="1:72" ht="14">
      <c r="A70" s="2" t="s">
        <v>437</v>
      </c>
      <c r="B70" s="2" t="s">
        <v>480</v>
      </c>
      <c r="C70" s="2" t="s">
        <v>311</v>
      </c>
      <c r="D70" s="2" t="s">
        <v>443</v>
      </c>
      <c r="E70" s="2">
        <v>2600</v>
      </c>
      <c r="F70" s="5">
        <v>52.83</v>
      </c>
      <c r="G70" s="5">
        <v>0.35</v>
      </c>
      <c r="H70" s="5">
        <v>10.35</v>
      </c>
      <c r="I70" s="5">
        <v>11.24</v>
      </c>
      <c r="J70" s="5">
        <v>0.18</v>
      </c>
      <c r="K70" s="5">
        <v>15.57</v>
      </c>
      <c r="L70" s="5">
        <v>6.54</v>
      </c>
      <c r="M70" s="5">
        <v>1.08</v>
      </c>
      <c r="N70" s="5">
        <v>0.71</v>
      </c>
      <c r="O70" s="5">
        <v>0.05</v>
      </c>
      <c r="P70" s="5">
        <v>2.0099999999999998</v>
      </c>
      <c r="Q70" s="5">
        <v>100.91</v>
      </c>
      <c r="R70" s="5">
        <v>73.277753918325203</v>
      </c>
      <c r="S70" s="5">
        <v>2097.7212971077997</v>
      </c>
      <c r="T70" s="5"/>
      <c r="U70" s="5"/>
      <c r="V70" s="5"/>
      <c r="W70" s="5">
        <v>172</v>
      </c>
      <c r="X70" s="5">
        <v>1625</v>
      </c>
      <c r="Y70" s="5"/>
      <c r="Z70" s="5">
        <v>363</v>
      </c>
      <c r="AA70" s="5"/>
      <c r="AB70" s="5"/>
      <c r="AC70" s="5">
        <v>11</v>
      </c>
      <c r="AD70" s="5">
        <v>35</v>
      </c>
      <c r="AE70" s="5">
        <v>60</v>
      </c>
      <c r="AF70" s="5">
        <v>11</v>
      </c>
      <c r="AG70" s="5">
        <v>43</v>
      </c>
      <c r="AH70" s="5">
        <v>4</v>
      </c>
      <c r="AI70" s="5"/>
      <c r="AJ70" s="5"/>
      <c r="AK70" s="5">
        <v>133</v>
      </c>
      <c r="AL70" s="5">
        <v>7.47</v>
      </c>
      <c r="AM70" s="5">
        <v>15.76</v>
      </c>
      <c r="AN70" s="5">
        <v>1.68</v>
      </c>
      <c r="AO70" s="5">
        <v>6.1</v>
      </c>
      <c r="AP70" s="5">
        <v>1.37</v>
      </c>
      <c r="AQ70" s="5">
        <v>0.42</v>
      </c>
      <c r="AR70" s="5">
        <v>1.56</v>
      </c>
      <c r="AS70" s="5">
        <v>0.4</v>
      </c>
      <c r="AT70" s="5">
        <v>1.39</v>
      </c>
      <c r="AU70" s="5">
        <v>0.32</v>
      </c>
      <c r="AV70" s="5">
        <v>0.92</v>
      </c>
      <c r="AW70" s="5">
        <v>0.28000000000000003</v>
      </c>
      <c r="AX70" s="5">
        <v>0.99</v>
      </c>
      <c r="AY70" s="5">
        <v>0.17</v>
      </c>
      <c r="AZ70" s="5">
        <v>2</v>
      </c>
      <c r="BA70" s="5">
        <v>0.54</v>
      </c>
      <c r="BB70" s="5"/>
      <c r="BC70" s="5"/>
      <c r="BD70" s="5">
        <v>3</v>
      </c>
      <c r="BE70" s="5">
        <v>0.9</v>
      </c>
      <c r="BF70" s="5">
        <v>4.68</v>
      </c>
      <c r="BG70" s="5">
        <v>38.830000000000005</v>
      </c>
      <c r="BH70" s="5">
        <v>0.51594878813993705</v>
      </c>
      <c r="BI70" s="5">
        <v>56.187511111111114</v>
      </c>
      <c r="BJ70" s="5">
        <v>29.571428571428573</v>
      </c>
      <c r="BK70" s="5">
        <v>9.2054545454545504</v>
      </c>
      <c r="BL70" s="5">
        <v>1.3059947299077701</v>
      </c>
      <c r="BM70" s="98">
        <v>1295.02</v>
      </c>
      <c r="BN70" s="5">
        <v>0.99586224999999995</v>
      </c>
      <c r="BO70" s="6"/>
      <c r="BP70" s="6"/>
      <c r="BQ70" s="6"/>
      <c r="BR70" s="6"/>
      <c r="BS70" s="26" t="s">
        <v>445</v>
      </c>
      <c r="BT70" s="52" t="s">
        <v>436</v>
      </c>
    </row>
    <row r="71" spans="1:72">
      <c r="A71" s="2" t="s">
        <v>438</v>
      </c>
      <c r="B71" s="2" t="s">
        <v>480</v>
      </c>
      <c r="C71" s="2" t="s">
        <v>311</v>
      </c>
      <c r="D71" s="2" t="s">
        <v>442</v>
      </c>
      <c r="E71" s="2">
        <v>2600</v>
      </c>
      <c r="F71" s="5">
        <v>52.88</v>
      </c>
      <c r="G71" s="5">
        <v>0.41</v>
      </c>
      <c r="H71" s="5">
        <v>9.99</v>
      </c>
      <c r="I71" s="5">
        <v>10.220000000000001</v>
      </c>
      <c r="J71" s="5">
        <v>0.19</v>
      </c>
      <c r="K71" s="5">
        <v>16.82</v>
      </c>
      <c r="L71" s="5">
        <v>5.76</v>
      </c>
      <c r="M71" s="5">
        <v>0.98</v>
      </c>
      <c r="N71" s="5">
        <v>0.87</v>
      </c>
      <c r="O71" s="5">
        <v>0.04</v>
      </c>
      <c r="P71" s="5">
        <v>2.1</v>
      </c>
      <c r="Q71" s="5">
        <v>100.26</v>
      </c>
      <c r="R71" s="5">
        <v>76.514833097792803</v>
      </c>
      <c r="S71" s="5">
        <v>2457.3306623262797</v>
      </c>
      <c r="T71" s="5"/>
      <c r="U71" s="5"/>
      <c r="V71" s="5"/>
      <c r="W71" s="5">
        <v>188</v>
      </c>
      <c r="X71" s="5">
        <v>1724</v>
      </c>
      <c r="Y71" s="5"/>
      <c r="Z71" s="5">
        <v>388</v>
      </c>
      <c r="AA71" s="5"/>
      <c r="AB71" s="5"/>
      <c r="AC71" s="5"/>
      <c r="AD71" s="5">
        <v>40</v>
      </c>
      <c r="AE71" s="5">
        <v>46</v>
      </c>
      <c r="AF71" s="5">
        <v>13</v>
      </c>
      <c r="AG71" s="5">
        <v>46</v>
      </c>
      <c r="AH71" s="5">
        <v>4</v>
      </c>
      <c r="AI71" s="5"/>
      <c r="AJ71" s="5"/>
      <c r="AK71" s="5">
        <v>99</v>
      </c>
      <c r="AL71" s="5">
        <v>7.1</v>
      </c>
      <c r="AM71" s="5">
        <v>16</v>
      </c>
      <c r="AN71" s="5">
        <v>2.04</v>
      </c>
      <c r="AO71" s="5">
        <v>9.4</v>
      </c>
      <c r="AP71" s="5">
        <v>2.5</v>
      </c>
      <c r="AQ71" s="5">
        <v>0.88</v>
      </c>
      <c r="AR71" s="5">
        <v>3.1</v>
      </c>
      <c r="AS71" s="5"/>
      <c r="AT71" s="5">
        <v>4</v>
      </c>
      <c r="AU71" s="5">
        <v>0.9</v>
      </c>
      <c r="AV71" s="5">
        <v>2.6</v>
      </c>
      <c r="AW71" s="5"/>
      <c r="AX71" s="5">
        <v>2.5</v>
      </c>
      <c r="AY71" s="5">
        <v>0.4</v>
      </c>
      <c r="AZ71" s="5"/>
      <c r="BA71" s="5"/>
      <c r="BB71" s="5"/>
      <c r="BC71" s="5"/>
      <c r="BD71" s="5">
        <v>7</v>
      </c>
      <c r="BE71" s="5"/>
      <c r="BF71" s="5">
        <v>6.4</v>
      </c>
      <c r="BG71" s="5">
        <v>51.42</v>
      </c>
      <c r="BH71" s="5">
        <v>0.54283626019793385</v>
      </c>
      <c r="BI71" s="5">
        <v>48.399768421052634</v>
      </c>
      <c r="BJ71" s="5">
        <v>24.365853658536587</v>
      </c>
      <c r="BK71" s="5">
        <v>3.4647999999999999</v>
      </c>
      <c r="BL71" s="5">
        <v>1.02771739130435</v>
      </c>
      <c r="BM71" s="98">
        <v>1256.8710000000001</v>
      </c>
      <c r="BN71" s="5">
        <v>0.78879451</v>
      </c>
      <c r="BO71" s="6">
        <v>1.53</v>
      </c>
      <c r="BP71" s="6">
        <f>(BN71-1)*0.4+BO71</f>
        <v>1.4455178040000001</v>
      </c>
      <c r="BQ71" s="6"/>
      <c r="BR71" s="6"/>
      <c r="BS71" s="2" t="s">
        <v>444</v>
      </c>
      <c r="BT71" s="52" t="s">
        <v>436</v>
      </c>
    </row>
    <row r="72" spans="1:72">
      <c r="A72" s="2" t="s">
        <v>439</v>
      </c>
      <c r="B72" s="2" t="s">
        <v>480</v>
      </c>
      <c r="C72" s="2" t="s">
        <v>311</v>
      </c>
      <c r="D72" s="2" t="s">
        <v>442</v>
      </c>
      <c r="E72" s="2">
        <v>2600</v>
      </c>
      <c r="F72" s="5">
        <v>52.33</v>
      </c>
      <c r="G72" s="5">
        <v>0.26</v>
      </c>
      <c r="H72" s="5">
        <v>16.55</v>
      </c>
      <c r="I72" s="5">
        <v>7.51</v>
      </c>
      <c r="J72" s="5">
        <v>0.12</v>
      </c>
      <c r="K72" s="5">
        <v>8.66</v>
      </c>
      <c r="L72" s="5">
        <v>13.29</v>
      </c>
      <c r="M72" s="5">
        <v>1.41</v>
      </c>
      <c r="N72" s="5">
        <v>0.09</v>
      </c>
      <c r="O72" s="5">
        <v>0.03</v>
      </c>
      <c r="P72" s="5">
        <v>0.51</v>
      </c>
      <c r="Q72" s="5">
        <v>100.76</v>
      </c>
      <c r="R72" s="5">
        <v>69.5375640380297</v>
      </c>
      <c r="S72" s="5">
        <v>1558.3072492800798</v>
      </c>
      <c r="T72" s="5"/>
      <c r="U72" s="5"/>
      <c r="V72" s="5"/>
      <c r="W72" s="5">
        <v>146</v>
      </c>
      <c r="X72" s="5">
        <v>529</v>
      </c>
      <c r="Y72" s="5"/>
      <c r="Z72" s="5">
        <v>230</v>
      </c>
      <c r="AA72" s="5"/>
      <c r="AB72" s="5"/>
      <c r="AC72" s="5">
        <v>9</v>
      </c>
      <c r="AD72" s="5">
        <v>2</v>
      </c>
      <c r="AE72" s="5">
        <v>118</v>
      </c>
      <c r="AF72" s="5">
        <v>8</v>
      </c>
      <c r="AG72" s="5">
        <v>35</v>
      </c>
      <c r="AH72" s="5">
        <v>1</v>
      </c>
      <c r="AI72" s="5"/>
      <c r="AJ72" s="5"/>
      <c r="AK72" s="5">
        <v>85</v>
      </c>
      <c r="AL72" s="5">
        <v>5.0999999999999996</v>
      </c>
      <c r="AM72" s="5">
        <v>9</v>
      </c>
      <c r="AN72" s="5">
        <v>0.92</v>
      </c>
      <c r="AO72" s="5">
        <v>3.9</v>
      </c>
      <c r="AP72" s="5">
        <v>0.9</v>
      </c>
      <c r="AQ72" s="5">
        <v>0.33</v>
      </c>
      <c r="AR72" s="5">
        <v>1.1000000000000001</v>
      </c>
      <c r="AS72" s="5">
        <v>0.2</v>
      </c>
      <c r="AT72" s="5">
        <v>1.3</v>
      </c>
      <c r="AU72" s="5">
        <v>0.3</v>
      </c>
      <c r="AV72" s="5">
        <v>0.9</v>
      </c>
      <c r="AW72" s="5">
        <v>0.14000000000000001</v>
      </c>
      <c r="AX72" s="5">
        <v>0.8</v>
      </c>
      <c r="AY72" s="5">
        <v>0.13</v>
      </c>
      <c r="AZ72" s="5">
        <v>0.8</v>
      </c>
      <c r="BA72" s="5">
        <v>0.08</v>
      </c>
      <c r="BB72" s="5"/>
      <c r="BC72" s="5"/>
      <c r="BD72" s="5">
        <v>1.3</v>
      </c>
      <c r="BE72" s="5">
        <v>0.2</v>
      </c>
      <c r="BF72" s="5">
        <v>3.0699999999999994</v>
      </c>
      <c r="BG72" s="5">
        <v>25.019999999999996</v>
      </c>
      <c r="BH72" s="5">
        <v>0.18892830624535931</v>
      </c>
      <c r="BI72" s="5">
        <v>56.312483333333333</v>
      </c>
      <c r="BJ72" s="5">
        <v>63.653846153846153</v>
      </c>
      <c r="BK72" s="5">
        <v>7.7774999999999999</v>
      </c>
      <c r="BL72" s="5">
        <v>1.1396059782608701</v>
      </c>
      <c r="BM72" s="98">
        <v>1190.8920000000001</v>
      </c>
      <c r="BN72" s="5">
        <v>0.62011302000000001</v>
      </c>
      <c r="BO72" s="6"/>
      <c r="BP72" s="6"/>
      <c r="BQ72" s="6"/>
      <c r="BR72" s="6"/>
      <c r="BS72" s="2" t="s">
        <v>444</v>
      </c>
      <c r="BT72" s="52" t="s">
        <v>436</v>
      </c>
    </row>
    <row r="73" spans="1:72">
      <c r="A73" s="2" t="s">
        <v>440</v>
      </c>
      <c r="B73" s="2" t="s">
        <v>480</v>
      </c>
      <c r="C73" s="2" t="s">
        <v>311</v>
      </c>
      <c r="D73" s="2" t="s">
        <v>442</v>
      </c>
      <c r="E73" s="2">
        <v>2600</v>
      </c>
      <c r="F73" s="5">
        <v>54.12</v>
      </c>
      <c r="G73" s="5">
        <v>0.39</v>
      </c>
      <c r="H73" s="5">
        <v>12.87</v>
      </c>
      <c r="I73" s="5">
        <v>10.73</v>
      </c>
      <c r="J73" s="5">
        <v>0.16</v>
      </c>
      <c r="K73" s="5">
        <v>8.31</v>
      </c>
      <c r="L73" s="5">
        <v>11.2</v>
      </c>
      <c r="M73" s="5">
        <v>1.1200000000000001</v>
      </c>
      <c r="N73" s="5">
        <v>0.05</v>
      </c>
      <c r="O73" s="5">
        <v>7.0000000000000007E-2</v>
      </c>
      <c r="P73" s="5">
        <v>0.48</v>
      </c>
      <c r="Q73" s="5">
        <v>99.5</v>
      </c>
      <c r="R73" s="5">
        <v>60.523103711766801</v>
      </c>
      <c r="S73" s="5">
        <v>2337.4608739201199</v>
      </c>
      <c r="T73" s="5"/>
      <c r="U73" s="5"/>
      <c r="V73" s="5"/>
      <c r="W73" s="5">
        <v>172</v>
      </c>
      <c r="X73" s="5">
        <v>441</v>
      </c>
      <c r="Y73" s="5"/>
      <c r="Z73" s="5">
        <v>178</v>
      </c>
      <c r="AA73" s="5"/>
      <c r="AB73" s="5"/>
      <c r="AC73" s="5">
        <v>8</v>
      </c>
      <c r="AD73" s="5">
        <v>33</v>
      </c>
      <c r="AE73" s="5">
        <v>103</v>
      </c>
      <c r="AF73" s="5">
        <v>11</v>
      </c>
      <c r="AG73" s="5">
        <v>50</v>
      </c>
      <c r="AH73" s="5">
        <v>4</v>
      </c>
      <c r="AI73" s="5"/>
      <c r="AJ73" s="5"/>
      <c r="AK73" s="5">
        <v>17</v>
      </c>
      <c r="AL73" s="5">
        <v>11</v>
      </c>
      <c r="AM73" s="5">
        <v>21</v>
      </c>
      <c r="AN73" s="5">
        <v>2.04</v>
      </c>
      <c r="AO73" s="5">
        <v>7.7</v>
      </c>
      <c r="AP73" s="5">
        <v>1.7</v>
      </c>
      <c r="AQ73" s="5">
        <v>0.56000000000000005</v>
      </c>
      <c r="AR73" s="5">
        <v>2</v>
      </c>
      <c r="AS73" s="5">
        <v>0.4</v>
      </c>
      <c r="AT73" s="5">
        <v>2.2000000000000002</v>
      </c>
      <c r="AU73" s="5">
        <v>0.5</v>
      </c>
      <c r="AV73" s="5">
        <v>1.4</v>
      </c>
      <c r="AW73" s="5">
        <v>0.22</v>
      </c>
      <c r="AX73" s="5">
        <v>1.4</v>
      </c>
      <c r="AY73" s="5">
        <v>0.22</v>
      </c>
      <c r="AZ73" s="5">
        <v>1.8</v>
      </c>
      <c r="BA73" s="5">
        <v>0.32</v>
      </c>
      <c r="BB73" s="5"/>
      <c r="BC73" s="5"/>
      <c r="BD73" s="5">
        <v>3.4</v>
      </c>
      <c r="BE73" s="5">
        <v>0.8</v>
      </c>
      <c r="BF73" s="5">
        <v>5.54</v>
      </c>
      <c r="BG73" s="5">
        <v>52.34</v>
      </c>
      <c r="BH73" s="5">
        <v>0.35037613158230269</v>
      </c>
      <c r="BI73" s="5">
        <v>60.342837500000002</v>
      </c>
      <c r="BJ73" s="5">
        <v>33</v>
      </c>
      <c r="BK73" s="5">
        <v>9.5857142857142907</v>
      </c>
      <c r="BL73" s="5">
        <v>1.1840062111801199</v>
      </c>
      <c r="BM73" s="98">
        <v>1286.1389999999999</v>
      </c>
      <c r="BN73" s="5">
        <v>0.83423163</v>
      </c>
      <c r="BO73" s="6">
        <v>0.86</v>
      </c>
      <c r="BP73" s="6">
        <f>(BN73-1)*0.4+BO73</f>
        <v>0.79369265199999994</v>
      </c>
      <c r="BQ73" s="6"/>
      <c r="BR73" s="6"/>
      <c r="BS73" s="2" t="s">
        <v>444</v>
      </c>
      <c r="BT73" s="52" t="s">
        <v>436</v>
      </c>
    </row>
    <row r="74" spans="1:72">
      <c r="A74" s="2" t="s">
        <v>301</v>
      </c>
      <c r="B74" s="2" t="s">
        <v>297</v>
      </c>
      <c r="C74" s="2" t="s">
        <v>298</v>
      </c>
      <c r="D74" s="2" t="s">
        <v>478</v>
      </c>
      <c r="E74" s="99">
        <v>2755</v>
      </c>
      <c r="F74" s="5">
        <v>51.4</v>
      </c>
      <c r="G74" s="5">
        <v>0.38</v>
      </c>
      <c r="H74" s="5">
        <v>13.4</v>
      </c>
      <c r="I74" s="5">
        <v>9.6</v>
      </c>
      <c r="J74" s="5">
        <v>0</v>
      </c>
      <c r="K74" s="5">
        <v>10.199999999999999</v>
      </c>
      <c r="L74" s="5">
        <v>10.8</v>
      </c>
      <c r="M74" s="5">
        <v>2.5</v>
      </c>
      <c r="N74" s="5">
        <v>0</v>
      </c>
      <c r="O74" s="5">
        <v>0.04</v>
      </c>
      <c r="P74" s="5"/>
      <c r="Q74" s="5">
        <f t="shared" ref="Q74:Q119" si="8">SUM(F74:G74,H74,I74,J74,K74,L74,M74,N74,O74)</f>
        <v>98.320000000000007</v>
      </c>
      <c r="R74" s="5">
        <f t="shared" ref="R74:R119" si="9">(K74/40.31)/(K74/40.31+I74*2/159.7)*100</f>
        <v>67.790812071453885</v>
      </c>
      <c r="S74" s="5">
        <f t="shared" ref="S74:S119" si="10">G74*47.87*10000/79.87</f>
        <v>2277.5259797170402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>
        <v>2</v>
      </c>
      <c r="AE74" s="5">
        <v>80</v>
      </c>
      <c r="AF74" s="5">
        <v>10</v>
      </c>
      <c r="AG74" s="5">
        <v>36</v>
      </c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35.2631578947368</v>
      </c>
      <c r="BK74" s="5"/>
      <c r="BL74" s="5"/>
      <c r="BM74" s="98">
        <v>1256.971</v>
      </c>
      <c r="BN74" s="5">
        <v>1.0244994999999999</v>
      </c>
      <c r="BO74" s="6"/>
      <c r="BP74" s="6"/>
      <c r="BQ74" s="6"/>
      <c r="BR74" s="6"/>
      <c r="BS74" s="2" t="s">
        <v>300</v>
      </c>
      <c r="BT74" s="52" t="s">
        <v>299</v>
      </c>
    </row>
    <row r="75" spans="1:72">
      <c r="A75" s="2" t="s">
        <v>302</v>
      </c>
      <c r="B75" s="2" t="s">
        <v>297</v>
      </c>
      <c r="C75" s="2" t="s">
        <v>298</v>
      </c>
      <c r="D75" s="2" t="s">
        <v>478</v>
      </c>
      <c r="E75" s="99">
        <v>2755</v>
      </c>
      <c r="F75" s="5">
        <v>49.5</v>
      </c>
      <c r="G75" s="5">
        <v>0.37</v>
      </c>
      <c r="H75" s="5">
        <v>13.7</v>
      </c>
      <c r="I75" s="5">
        <v>10.199999999999999</v>
      </c>
      <c r="J75" s="5">
        <v>0.2</v>
      </c>
      <c r="K75" s="5">
        <v>13</v>
      </c>
      <c r="L75" s="5">
        <v>6.1</v>
      </c>
      <c r="M75" s="5">
        <v>1.5</v>
      </c>
      <c r="N75" s="5">
        <v>0.8</v>
      </c>
      <c r="O75" s="5">
        <v>0.1</v>
      </c>
      <c r="P75" s="5">
        <v>4.5999999999999996</v>
      </c>
      <c r="Q75" s="5">
        <f t="shared" si="8"/>
        <v>95.469999999999985</v>
      </c>
      <c r="R75" s="5">
        <f t="shared" si="9"/>
        <v>71.628581601587612</v>
      </c>
      <c r="S75" s="5">
        <f t="shared" si="10"/>
        <v>2217.59108551396</v>
      </c>
      <c r="T75" s="5"/>
      <c r="U75" s="5"/>
      <c r="V75" s="5"/>
      <c r="W75" s="5"/>
      <c r="X75" s="5"/>
      <c r="Y75" s="5"/>
      <c r="Z75" s="5">
        <v>176</v>
      </c>
      <c r="AA75" s="5"/>
      <c r="AB75" s="5"/>
      <c r="AC75" s="5"/>
      <c r="AD75" s="5">
        <v>38</v>
      </c>
      <c r="AE75" s="5">
        <v>133</v>
      </c>
      <c r="AF75" s="5">
        <v>11</v>
      </c>
      <c r="AG75" s="5">
        <v>33</v>
      </c>
      <c r="AH75" s="5"/>
      <c r="AI75" s="5"/>
      <c r="AJ75" s="5">
        <v>1.93</v>
      </c>
      <c r="AK75" s="5">
        <v>63</v>
      </c>
      <c r="AL75" s="5">
        <v>2.21</v>
      </c>
      <c r="AM75" s="5">
        <v>4.17</v>
      </c>
      <c r="AN75" s="5">
        <v>0.56999999999999995</v>
      </c>
      <c r="AO75" s="5">
        <v>2.3199999999999998</v>
      </c>
      <c r="AP75" s="5"/>
      <c r="AQ75" s="5">
        <v>0.25</v>
      </c>
      <c r="AR75" s="5">
        <v>1.1200000000000001</v>
      </c>
      <c r="AS75" s="5">
        <v>0.21</v>
      </c>
      <c r="AT75" s="5">
        <v>1.5</v>
      </c>
      <c r="AU75" s="5">
        <v>0.35</v>
      </c>
      <c r="AV75" s="5">
        <v>1.07</v>
      </c>
      <c r="AW75" s="5">
        <v>0.18</v>
      </c>
      <c r="AX75" s="5">
        <v>1.19</v>
      </c>
      <c r="AY75" s="5">
        <v>0.19</v>
      </c>
      <c r="AZ75" s="5">
        <v>0.65</v>
      </c>
      <c r="BA75" s="5">
        <v>0.01</v>
      </c>
      <c r="BB75" s="5"/>
      <c r="BC75" s="5"/>
      <c r="BD75" s="5">
        <v>0.48</v>
      </c>
      <c r="BE75" s="5">
        <v>0.2</v>
      </c>
      <c r="BF75" s="5">
        <v>2.98</v>
      </c>
      <c r="BG75" s="5">
        <v>15.33</v>
      </c>
      <c r="BH75" s="5"/>
      <c r="BI75" s="5">
        <f t="shared" ref="BI75:BI124" si="11">I75*0.8998/J75</f>
        <v>45.889800000000001</v>
      </c>
      <c r="BJ75" s="5">
        <v>37.027027027027003</v>
      </c>
      <c r="BK75" s="5">
        <f>(AL75/0.237)/(AX75/0.17)</f>
        <v>1.3321277878239908</v>
      </c>
      <c r="BL75" s="5">
        <v>0.77858880778588802</v>
      </c>
      <c r="BM75" s="98">
        <v>1274.567</v>
      </c>
      <c r="BN75" s="5">
        <v>1.13349207</v>
      </c>
      <c r="BO75" s="6"/>
      <c r="BP75" s="6"/>
      <c r="BQ75" s="6"/>
      <c r="BR75" s="6"/>
      <c r="BS75" s="2" t="s">
        <v>300</v>
      </c>
      <c r="BT75" s="52" t="s">
        <v>299</v>
      </c>
    </row>
    <row r="76" spans="1:72">
      <c r="A76" s="2" t="s">
        <v>296</v>
      </c>
      <c r="B76" s="2" t="s">
        <v>297</v>
      </c>
      <c r="C76" s="2" t="s">
        <v>298</v>
      </c>
      <c r="D76" s="2" t="s">
        <v>478</v>
      </c>
      <c r="E76" s="99">
        <v>2755</v>
      </c>
      <c r="F76" s="5">
        <v>52.2</v>
      </c>
      <c r="G76" s="5">
        <v>0.36</v>
      </c>
      <c r="H76" s="5">
        <v>13.7</v>
      </c>
      <c r="I76" s="5">
        <v>10.6</v>
      </c>
      <c r="J76" s="5">
        <v>0.2</v>
      </c>
      <c r="K76" s="5">
        <v>9.3000000000000007</v>
      </c>
      <c r="L76" s="5">
        <v>9.6999999999999993</v>
      </c>
      <c r="M76" s="5">
        <v>1.7</v>
      </c>
      <c r="N76" s="5">
        <v>0.1</v>
      </c>
      <c r="O76" s="5">
        <v>0.01</v>
      </c>
      <c r="P76" s="5">
        <v>2.2999999999999998</v>
      </c>
      <c r="Q76" s="5">
        <f t="shared" si="8"/>
        <v>97.87</v>
      </c>
      <c r="R76" s="5">
        <f t="shared" si="9"/>
        <v>63.476426436309033</v>
      </c>
      <c r="S76" s="5">
        <f t="shared" si="10"/>
        <v>2157.6561913108799</v>
      </c>
      <c r="T76" s="5"/>
      <c r="U76" s="5"/>
      <c r="V76" s="5"/>
      <c r="W76" s="5"/>
      <c r="X76" s="5"/>
      <c r="Y76" s="5"/>
      <c r="Z76" s="5">
        <v>119</v>
      </c>
      <c r="AA76" s="5"/>
      <c r="AB76" s="5"/>
      <c r="AC76" s="5"/>
      <c r="AD76" s="5">
        <v>2</v>
      </c>
      <c r="AE76" s="5">
        <v>88</v>
      </c>
      <c r="AF76" s="5">
        <v>12</v>
      </c>
      <c r="AG76" s="5">
        <v>21</v>
      </c>
      <c r="AH76" s="5"/>
      <c r="AI76" s="5"/>
      <c r="AJ76" s="5">
        <v>0.14000000000000001</v>
      </c>
      <c r="AK76" s="5">
        <v>20</v>
      </c>
      <c r="AL76" s="5">
        <v>2.8</v>
      </c>
      <c r="AM76" s="5">
        <v>5.43</v>
      </c>
      <c r="AN76" s="5">
        <v>0.75</v>
      </c>
      <c r="AO76" s="5">
        <v>3.12</v>
      </c>
      <c r="AP76" s="5"/>
      <c r="AQ76" s="5">
        <v>0.4</v>
      </c>
      <c r="AR76" s="5">
        <v>1.32</v>
      </c>
      <c r="AS76" s="5">
        <v>0.24</v>
      </c>
      <c r="AT76" s="5">
        <v>1.81</v>
      </c>
      <c r="AU76" s="5">
        <v>0.41</v>
      </c>
      <c r="AV76" s="5">
        <v>1.25</v>
      </c>
      <c r="AW76" s="5">
        <v>0.22</v>
      </c>
      <c r="AX76" s="5">
        <v>1.38</v>
      </c>
      <c r="AY76" s="5">
        <v>0.21</v>
      </c>
      <c r="AZ76" s="5">
        <v>0.67</v>
      </c>
      <c r="BA76" s="5">
        <v>0.12</v>
      </c>
      <c r="BB76" s="5"/>
      <c r="BC76" s="5"/>
      <c r="BD76" s="5">
        <v>0.46</v>
      </c>
      <c r="BE76" s="5">
        <v>0.13</v>
      </c>
      <c r="BF76" s="5">
        <v>3.47</v>
      </c>
      <c r="BG76" s="5">
        <v>19.34</v>
      </c>
      <c r="BH76" s="5"/>
      <c r="BI76" s="5">
        <f t="shared" si="11"/>
        <v>47.689399999999992</v>
      </c>
      <c r="BJ76" s="5">
        <v>38.0555555555556</v>
      </c>
      <c r="BK76" s="5">
        <f>(AL76/0.237)/(AX76/0.17)</f>
        <v>1.4553904482357978</v>
      </c>
      <c r="BL76" s="5">
        <v>0.79128319052152796</v>
      </c>
      <c r="BM76" s="98">
        <v>1285.5050000000001</v>
      </c>
      <c r="BN76" s="5">
        <v>1.01489282</v>
      </c>
      <c r="BO76" s="6"/>
      <c r="BP76" s="6"/>
      <c r="BQ76" s="6"/>
      <c r="BR76" s="6"/>
      <c r="BS76" s="2" t="s">
        <v>300</v>
      </c>
      <c r="BT76" s="52" t="s">
        <v>299</v>
      </c>
    </row>
    <row r="77" spans="1:72">
      <c r="A77" s="2" t="s">
        <v>304</v>
      </c>
      <c r="B77" s="2" t="s">
        <v>297</v>
      </c>
      <c r="C77" s="2" t="s">
        <v>298</v>
      </c>
      <c r="D77" s="2" t="s">
        <v>478</v>
      </c>
      <c r="E77" s="99">
        <v>2755</v>
      </c>
      <c r="F77" s="5">
        <v>51.3</v>
      </c>
      <c r="G77" s="5">
        <v>0.37</v>
      </c>
      <c r="H77" s="5">
        <v>13.6</v>
      </c>
      <c r="I77" s="5">
        <v>9.6999999999999993</v>
      </c>
      <c r="J77" s="5">
        <v>0.2</v>
      </c>
      <c r="K77" s="5">
        <v>11.3</v>
      </c>
      <c r="L77" s="5">
        <v>8.1999999999999993</v>
      </c>
      <c r="M77" s="5">
        <v>1.9</v>
      </c>
      <c r="N77" s="5">
        <v>0.1</v>
      </c>
      <c r="O77" s="5">
        <v>0.01</v>
      </c>
      <c r="P77" s="5">
        <v>3.5</v>
      </c>
      <c r="Q77" s="5">
        <f t="shared" si="8"/>
        <v>96.68</v>
      </c>
      <c r="R77" s="5">
        <f t="shared" si="9"/>
        <v>69.767001311361838</v>
      </c>
      <c r="S77" s="5">
        <f t="shared" si="10"/>
        <v>2217.59108551396</v>
      </c>
      <c r="T77" s="5"/>
      <c r="U77" s="5"/>
      <c r="V77" s="5"/>
      <c r="W77" s="5"/>
      <c r="X77" s="5"/>
      <c r="Y77" s="5"/>
      <c r="Z77" s="5">
        <v>128</v>
      </c>
      <c r="AA77" s="5"/>
      <c r="AB77" s="5"/>
      <c r="AC77" s="5"/>
      <c r="AD77" s="5">
        <v>1</v>
      </c>
      <c r="AE77" s="5">
        <v>81</v>
      </c>
      <c r="AF77" s="5">
        <v>13</v>
      </c>
      <c r="AG77" s="5">
        <v>21</v>
      </c>
      <c r="AH77" s="5"/>
      <c r="AI77" s="5"/>
      <c r="AJ77" s="5">
        <v>0.32</v>
      </c>
      <c r="AK77" s="5">
        <v>16</v>
      </c>
      <c r="AL77" s="5">
        <v>2.4900000000000002</v>
      </c>
      <c r="AM77" s="5">
        <v>5.16</v>
      </c>
      <c r="AN77" s="5">
        <v>0.73</v>
      </c>
      <c r="AO77" s="5">
        <v>2.98</v>
      </c>
      <c r="AP77" s="5"/>
      <c r="AQ77" s="5">
        <v>0.4</v>
      </c>
      <c r="AR77" s="5">
        <v>1.39</v>
      </c>
      <c r="AS77" s="5">
        <v>0.25</v>
      </c>
      <c r="AT77" s="5">
        <v>2.17</v>
      </c>
      <c r="AU77" s="5">
        <v>0.47</v>
      </c>
      <c r="AV77" s="5">
        <v>1.41</v>
      </c>
      <c r="AW77" s="5">
        <v>0.23</v>
      </c>
      <c r="AX77" s="5">
        <v>1.59</v>
      </c>
      <c r="AY77" s="5">
        <v>0.23</v>
      </c>
      <c r="AZ77" s="5">
        <v>0.7</v>
      </c>
      <c r="BA77" s="5">
        <v>0.13</v>
      </c>
      <c r="BB77" s="5"/>
      <c r="BC77" s="5"/>
      <c r="BD77" s="5">
        <v>0.56000000000000005</v>
      </c>
      <c r="BE77" s="5">
        <v>0.14000000000000001</v>
      </c>
      <c r="BF77" s="5">
        <v>3.93</v>
      </c>
      <c r="BG77" s="5">
        <v>19.5</v>
      </c>
      <c r="BH77" s="5"/>
      <c r="BI77" s="5">
        <f t="shared" si="11"/>
        <v>43.640299999999996</v>
      </c>
      <c r="BJ77" s="5">
        <v>36.756756756756801</v>
      </c>
      <c r="BK77" s="5">
        <f>(AL77/0.237)/(AX77/0.17)</f>
        <v>1.1233182071491123</v>
      </c>
      <c r="BL77" s="5">
        <v>0.72319392798665605</v>
      </c>
      <c r="BM77" s="98">
        <v>1254.3230000000001</v>
      </c>
      <c r="BN77" s="5">
        <v>0.91989712999999995</v>
      </c>
      <c r="BO77" s="6"/>
      <c r="BP77" s="6"/>
      <c r="BQ77" s="6"/>
      <c r="BR77" s="6"/>
      <c r="BS77" s="2" t="s">
        <v>300</v>
      </c>
      <c r="BT77" s="52" t="s">
        <v>299</v>
      </c>
    </row>
    <row r="78" spans="1:72">
      <c r="A78" s="2" t="s">
        <v>303</v>
      </c>
      <c r="B78" s="2" t="s">
        <v>297</v>
      </c>
      <c r="C78" s="2" t="s">
        <v>298</v>
      </c>
      <c r="D78" s="2" t="s">
        <v>478</v>
      </c>
      <c r="E78" s="99">
        <v>2755</v>
      </c>
      <c r="F78" s="5">
        <v>51.8</v>
      </c>
      <c r="G78" s="5">
        <v>0.47</v>
      </c>
      <c r="H78" s="5">
        <v>14.4</v>
      </c>
      <c r="I78" s="5">
        <v>9.6</v>
      </c>
      <c r="J78" s="5">
        <v>0.2</v>
      </c>
      <c r="K78" s="5">
        <v>9.9</v>
      </c>
      <c r="L78" s="5">
        <v>9.9</v>
      </c>
      <c r="M78" s="5">
        <v>0.9</v>
      </c>
      <c r="N78" s="5">
        <v>0.8</v>
      </c>
      <c r="O78" s="5">
        <v>0.02</v>
      </c>
      <c r="P78" s="5">
        <v>2.2999999999999998</v>
      </c>
      <c r="Q78" s="5">
        <f t="shared" si="8"/>
        <v>97.990000000000009</v>
      </c>
      <c r="R78" s="5">
        <f t="shared" si="9"/>
        <v>67.135544985057223</v>
      </c>
      <c r="S78" s="5">
        <f t="shared" si="10"/>
        <v>2816.9400275447601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>
        <v>40</v>
      </c>
      <c r="AE78" s="5">
        <v>110</v>
      </c>
      <c r="AF78" s="5">
        <v>17</v>
      </c>
      <c r="AG78" s="5">
        <v>45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f t="shared" si="11"/>
        <v>43.190399999999997</v>
      </c>
      <c r="BJ78" s="5">
        <v>30.638297872340399</v>
      </c>
      <c r="BK78" s="5"/>
      <c r="BL78" s="5"/>
      <c r="BM78" s="98">
        <v>1252.06</v>
      </c>
      <c r="BN78" s="5">
        <v>0.87917725999999996</v>
      </c>
      <c r="BO78" s="6"/>
      <c r="BP78" s="6"/>
      <c r="BQ78" s="6"/>
      <c r="BR78" s="6"/>
      <c r="BS78" s="2" t="s">
        <v>300</v>
      </c>
      <c r="BT78" s="52" t="s">
        <v>299</v>
      </c>
    </row>
    <row r="79" spans="1:72">
      <c r="A79" s="2" t="s">
        <v>307</v>
      </c>
      <c r="B79" s="2" t="s">
        <v>297</v>
      </c>
      <c r="C79" s="2" t="s">
        <v>298</v>
      </c>
      <c r="D79" s="2" t="s">
        <v>478</v>
      </c>
      <c r="E79" s="99">
        <v>2755</v>
      </c>
      <c r="F79" s="5">
        <v>52.4</v>
      </c>
      <c r="G79" s="5">
        <v>0.46</v>
      </c>
      <c r="H79" s="5">
        <v>14.9</v>
      </c>
      <c r="I79" s="5">
        <v>10.9</v>
      </c>
      <c r="J79" s="5">
        <v>0.2</v>
      </c>
      <c r="K79" s="5">
        <v>8.6999999999999993</v>
      </c>
      <c r="L79" s="5">
        <v>10</v>
      </c>
      <c r="M79" s="5">
        <v>1.7</v>
      </c>
      <c r="N79" s="5">
        <v>0.1</v>
      </c>
      <c r="O79" s="5">
        <v>0.04</v>
      </c>
      <c r="P79" s="5">
        <v>0.7</v>
      </c>
      <c r="Q79" s="5">
        <f t="shared" si="8"/>
        <v>99.40000000000002</v>
      </c>
      <c r="R79" s="5">
        <f t="shared" si="9"/>
        <v>61.25658466731447</v>
      </c>
      <c r="S79" s="5">
        <f t="shared" si="10"/>
        <v>2757.00513334168</v>
      </c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110</v>
      </c>
      <c r="AF79" s="5">
        <v>19</v>
      </c>
      <c r="AG79" s="5">
        <v>35</v>
      </c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f t="shared" si="11"/>
        <v>49.039100000000005</v>
      </c>
      <c r="BJ79" s="5">
        <v>32.3913043478261</v>
      </c>
      <c r="BK79" s="5"/>
      <c r="BL79" s="5"/>
      <c r="BM79" s="98">
        <v>1295.752</v>
      </c>
      <c r="BN79" s="5">
        <v>1.1084735699999999</v>
      </c>
      <c r="BO79" s="6"/>
      <c r="BP79" s="6"/>
      <c r="BQ79" s="6"/>
      <c r="BR79" s="6"/>
      <c r="BS79" s="2" t="s">
        <v>300</v>
      </c>
      <c r="BT79" s="52" t="s">
        <v>299</v>
      </c>
    </row>
    <row r="80" spans="1:72">
      <c r="A80" s="2" t="s">
        <v>308</v>
      </c>
      <c r="B80" s="2" t="s">
        <v>297</v>
      </c>
      <c r="C80" s="2" t="s">
        <v>298</v>
      </c>
      <c r="D80" s="2" t="s">
        <v>478</v>
      </c>
      <c r="E80" s="99">
        <v>2755</v>
      </c>
      <c r="F80" s="5">
        <v>51.4</v>
      </c>
      <c r="G80" s="5">
        <v>0.45</v>
      </c>
      <c r="H80" s="5">
        <v>15.3</v>
      </c>
      <c r="I80" s="5">
        <v>10.5</v>
      </c>
      <c r="J80" s="5">
        <v>0.2</v>
      </c>
      <c r="K80" s="5">
        <v>8.9</v>
      </c>
      <c r="L80" s="5">
        <v>8.3000000000000007</v>
      </c>
      <c r="M80" s="5">
        <v>1.1000000000000001</v>
      </c>
      <c r="N80" s="5">
        <v>1.7</v>
      </c>
      <c r="O80" s="5">
        <v>0.03</v>
      </c>
      <c r="P80" s="5">
        <v>2.2999999999999998</v>
      </c>
      <c r="Q80" s="5">
        <f t="shared" si="8"/>
        <v>97.88000000000001</v>
      </c>
      <c r="R80" s="5">
        <f t="shared" si="9"/>
        <v>62.67329264851135</v>
      </c>
      <c r="S80" s="5">
        <f t="shared" si="10"/>
        <v>2697.0702391385998</v>
      </c>
      <c r="T80" s="5"/>
      <c r="U80" s="5"/>
      <c r="V80" s="5"/>
      <c r="W80" s="5"/>
      <c r="X80" s="5"/>
      <c r="Y80" s="5"/>
      <c r="Z80" s="5"/>
      <c r="AA80" s="5"/>
      <c r="AB80" s="5"/>
      <c r="AC80" s="5"/>
      <c r="AD80" s="5">
        <v>87</v>
      </c>
      <c r="AE80" s="5">
        <v>130</v>
      </c>
      <c r="AF80" s="5">
        <v>11</v>
      </c>
      <c r="AG80" s="5">
        <v>36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>
        <f t="shared" si="11"/>
        <v>47.2395</v>
      </c>
      <c r="BJ80" s="5">
        <v>34</v>
      </c>
      <c r="BK80" s="5"/>
      <c r="BL80" s="5"/>
      <c r="BM80" s="98">
        <v>1283.4570000000001</v>
      </c>
      <c r="BN80" s="5">
        <v>1.17272771</v>
      </c>
      <c r="BO80" s="6"/>
      <c r="BP80" s="6"/>
      <c r="BQ80" s="6"/>
      <c r="BR80" s="6"/>
      <c r="BS80" s="2" t="s">
        <v>300</v>
      </c>
      <c r="BT80" s="52" t="s">
        <v>299</v>
      </c>
    </row>
    <row r="81" spans="1:72">
      <c r="A81" s="2" t="s">
        <v>306</v>
      </c>
      <c r="B81" s="2" t="s">
        <v>297</v>
      </c>
      <c r="C81" s="2" t="s">
        <v>298</v>
      </c>
      <c r="D81" s="2" t="s">
        <v>478</v>
      </c>
      <c r="E81" s="99">
        <v>2755</v>
      </c>
      <c r="F81" s="5">
        <v>52.6</v>
      </c>
      <c r="G81" s="5">
        <v>0.44</v>
      </c>
      <c r="H81" s="5">
        <v>13.6</v>
      </c>
      <c r="I81" s="5">
        <v>10.3</v>
      </c>
      <c r="J81" s="5">
        <v>0.2</v>
      </c>
      <c r="K81" s="5">
        <v>9.8000000000000007</v>
      </c>
      <c r="L81" s="5">
        <v>9.1</v>
      </c>
      <c r="M81" s="5">
        <v>1.7</v>
      </c>
      <c r="N81" s="5">
        <v>0.5</v>
      </c>
      <c r="O81" s="5">
        <v>0.03</v>
      </c>
      <c r="P81" s="5">
        <v>1.4</v>
      </c>
      <c r="Q81" s="5">
        <f t="shared" si="8"/>
        <v>98.27</v>
      </c>
      <c r="R81" s="5">
        <f t="shared" si="9"/>
        <v>65.334806127961144</v>
      </c>
      <c r="S81" s="5">
        <f t="shared" si="10"/>
        <v>2637.1353449355202</v>
      </c>
      <c r="T81" s="5"/>
      <c r="U81" s="5"/>
      <c r="V81" s="5"/>
      <c r="W81" s="5"/>
      <c r="X81" s="5"/>
      <c r="Y81" s="5"/>
      <c r="Z81" s="5"/>
      <c r="AA81" s="5"/>
      <c r="AB81" s="5"/>
      <c r="AC81" s="5"/>
      <c r="AD81" s="5">
        <v>22</v>
      </c>
      <c r="AE81" s="5">
        <v>63</v>
      </c>
      <c r="AF81" s="5">
        <v>13</v>
      </c>
      <c r="AG81" s="5">
        <v>38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f t="shared" si="11"/>
        <v>46.339700000000001</v>
      </c>
      <c r="BJ81" s="5">
        <v>30.909090909090899</v>
      </c>
      <c r="BK81" s="5"/>
      <c r="BL81" s="5"/>
      <c r="BM81" s="98">
        <v>1272.7660000000001</v>
      </c>
      <c r="BN81" s="5">
        <v>0.97818989999999995</v>
      </c>
      <c r="BO81" s="6"/>
      <c r="BP81" s="6"/>
      <c r="BQ81" s="6"/>
      <c r="BR81" s="6"/>
      <c r="BS81" s="2" t="s">
        <v>300</v>
      </c>
      <c r="BT81" s="52" t="s">
        <v>299</v>
      </c>
    </row>
    <row r="82" spans="1:72">
      <c r="A82" s="2" t="s">
        <v>305</v>
      </c>
      <c r="B82" s="2" t="s">
        <v>297</v>
      </c>
      <c r="C82" s="2" t="s">
        <v>298</v>
      </c>
      <c r="D82" s="2" t="s">
        <v>478</v>
      </c>
      <c r="E82" s="99">
        <v>2755</v>
      </c>
      <c r="F82" s="5">
        <v>52.8</v>
      </c>
      <c r="G82" s="5">
        <v>0.42</v>
      </c>
      <c r="H82" s="5">
        <v>14.7</v>
      </c>
      <c r="I82" s="5">
        <v>9.8000000000000007</v>
      </c>
      <c r="J82" s="5">
        <v>0.2</v>
      </c>
      <c r="K82" s="5">
        <v>8.9</v>
      </c>
      <c r="L82" s="5">
        <v>10.3</v>
      </c>
      <c r="M82" s="5">
        <v>1.6</v>
      </c>
      <c r="N82" s="5">
        <v>0.1</v>
      </c>
      <c r="O82" s="5">
        <v>0.03</v>
      </c>
      <c r="P82" s="5">
        <v>0.8</v>
      </c>
      <c r="Q82" s="5">
        <f t="shared" si="8"/>
        <v>98.85</v>
      </c>
      <c r="R82" s="5">
        <f t="shared" si="9"/>
        <v>64.272684436960006</v>
      </c>
      <c r="S82" s="5">
        <f t="shared" si="10"/>
        <v>2517.2655565293599</v>
      </c>
      <c r="T82" s="5"/>
      <c r="U82" s="5"/>
      <c r="V82" s="5"/>
      <c r="W82" s="5"/>
      <c r="X82" s="5"/>
      <c r="Y82" s="5"/>
      <c r="Z82" s="5"/>
      <c r="AA82" s="5"/>
      <c r="AB82" s="5"/>
      <c r="AC82" s="5"/>
      <c r="AD82" s="5">
        <v>1.7</v>
      </c>
      <c r="AE82" s="5">
        <v>59</v>
      </c>
      <c r="AF82" s="5">
        <v>13</v>
      </c>
      <c r="AG82" s="5">
        <v>38</v>
      </c>
      <c r="AH82" s="5">
        <v>1.2</v>
      </c>
      <c r="AI82" s="5"/>
      <c r="AJ82" s="5">
        <v>0.11</v>
      </c>
      <c r="AK82" s="5"/>
      <c r="AL82" s="5">
        <v>3.2</v>
      </c>
      <c r="AM82" s="5">
        <v>7</v>
      </c>
      <c r="AN82" s="5">
        <v>0.87</v>
      </c>
      <c r="AO82" s="5">
        <v>3.6</v>
      </c>
      <c r="AP82" s="5"/>
      <c r="AQ82" s="5">
        <v>0.35</v>
      </c>
      <c r="AR82" s="5">
        <v>1.5</v>
      </c>
      <c r="AS82" s="5">
        <v>0.28999999999999998</v>
      </c>
      <c r="AT82" s="5">
        <v>1.9</v>
      </c>
      <c r="AU82" s="5">
        <v>0.47</v>
      </c>
      <c r="AV82" s="5">
        <v>1.3</v>
      </c>
      <c r="AW82" s="5">
        <v>0.22</v>
      </c>
      <c r="AX82" s="5">
        <v>1.5</v>
      </c>
      <c r="AY82" s="5">
        <v>0.24</v>
      </c>
      <c r="AZ82" s="5">
        <v>1.1000000000000001</v>
      </c>
      <c r="BA82" s="5">
        <v>0.11</v>
      </c>
      <c r="BB82" s="5"/>
      <c r="BC82" s="5"/>
      <c r="BD82" s="5">
        <v>0.76</v>
      </c>
      <c r="BE82" s="5">
        <v>0.23</v>
      </c>
      <c r="BF82" s="5">
        <v>3.73</v>
      </c>
      <c r="BG82" s="5">
        <v>22.44</v>
      </c>
      <c r="BH82" s="5">
        <v>0.36132538569424999</v>
      </c>
      <c r="BI82" s="5">
        <f t="shared" si="11"/>
        <v>44.090200000000003</v>
      </c>
      <c r="BJ82" s="5">
        <v>35</v>
      </c>
      <c r="BK82" s="5">
        <f t="shared" ref="BK82:BK85" si="12">(AL82/0.237)/(AX82/0.17)</f>
        <v>1.5302390998593534</v>
      </c>
      <c r="BL82" s="5">
        <v>0.82725060827250596</v>
      </c>
      <c r="BM82" s="98">
        <v>1256.42</v>
      </c>
      <c r="BN82" s="5">
        <v>0.86017999000000001</v>
      </c>
      <c r="BO82" s="6"/>
      <c r="BP82" s="6"/>
      <c r="BQ82" s="6"/>
      <c r="BR82" s="6"/>
      <c r="BS82" s="2" t="s">
        <v>300</v>
      </c>
      <c r="BT82" s="52" t="s">
        <v>299</v>
      </c>
    </row>
    <row r="83" spans="1:72">
      <c r="A83" s="2" t="s">
        <v>326</v>
      </c>
      <c r="B83" s="2" t="s">
        <v>323</v>
      </c>
      <c r="C83" s="2" t="s">
        <v>311</v>
      </c>
      <c r="D83" s="2" t="s">
        <v>426</v>
      </c>
      <c r="E83" s="2">
        <v>3023</v>
      </c>
      <c r="F83" s="5">
        <v>52.76</v>
      </c>
      <c r="G83" s="5">
        <v>0.33</v>
      </c>
      <c r="H83" s="5">
        <v>14.73</v>
      </c>
      <c r="I83" s="5">
        <v>10.29</v>
      </c>
      <c r="J83" s="5">
        <v>0.3</v>
      </c>
      <c r="K83" s="5">
        <v>9.31</v>
      </c>
      <c r="L83" s="5">
        <v>4.74</v>
      </c>
      <c r="M83" s="5">
        <v>4.17</v>
      </c>
      <c r="N83" s="5">
        <v>0.11</v>
      </c>
      <c r="O83" s="5">
        <v>0.04</v>
      </c>
      <c r="P83" s="5">
        <v>2.79</v>
      </c>
      <c r="Q83" s="5">
        <f t="shared" si="8"/>
        <v>96.779999999999987</v>
      </c>
      <c r="R83" s="5">
        <f t="shared" si="9"/>
        <v>64.186473519880181</v>
      </c>
      <c r="S83" s="5">
        <f t="shared" si="10"/>
        <v>1977.8515087016401</v>
      </c>
      <c r="T83" s="5"/>
      <c r="U83" s="5"/>
      <c r="V83" s="5"/>
      <c r="W83" s="5">
        <v>258</v>
      </c>
      <c r="X83" s="5">
        <v>400</v>
      </c>
      <c r="Y83" s="5">
        <v>43</v>
      </c>
      <c r="Z83" s="5">
        <v>90</v>
      </c>
      <c r="AA83" s="5"/>
      <c r="AB83" s="5"/>
      <c r="AC83" s="5">
        <v>11</v>
      </c>
      <c r="AD83" s="5">
        <v>2</v>
      </c>
      <c r="AE83" s="5">
        <v>52</v>
      </c>
      <c r="AF83" s="5">
        <v>9.1999999999999993</v>
      </c>
      <c r="AG83" s="5">
        <v>22</v>
      </c>
      <c r="AH83" s="5">
        <v>0.2</v>
      </c>
      <c r="AI83" s="5"/>
      <c r="AJ83" s="5">
        <v>0.5</v>
      </c>
      <c r="AK83" s="5">
        <v>32</v>
      </c>
      <c r="AL83" s="5">
        <v>0.73</v>
      </c>
      <c r="AM83" s="5">
        <v>1.67</v>
      </c>
      <c r="AN83" s="5">
        <v>0.21</v>
      </c>
      <c r="AO83" s="5">
        <v>1.1200000000000001</v>
      </c>
      <c r="AP83" s="5"/>
      <c r="AQ83" s="5">
        <v>0.23400000000000001</v>
      </c>
      <c r="AR83" s="5">
        <v>0.93</v>
      </c>
      <c r="AS83" s="5">
        <v>0.2</v>
      </c>
      <c r="AT83" s="5">
        <v>1.52</v>
      </c>
      <c r="AU83" s="5">
        <v>0.35</v>
      </c>
      <c r="AV83" s="5">
        <v>1.0900000000000001</v>
      </c>
      <c r="AW83" s="5">
        <v>0.17599999999999999</v>
      </c>
      <c r="AX83" s="5">
        <v>1.26</v>
      </c>
      <c r="AY83" s="5">
        <v>0.221</v>
      </c>
      <c r="AZ83" s="5">
        <v>0.7</v>
      </c>
      <c r="BA83" s="5">
        <v>0.01</v>
      </c>
      <c r="BB83" s="5"/>
      <c r="BC83" s="5"/>
      <c r="BD83" s="5">
        <v>0.18</v>
      </c>
      <c r="BE83" s="5">
        <v>0.15</v>
      </c>
      <c r="BF83" s="5">
        <v>3.097</v>
      </c>
      <c r="BG83" s="5">
        <v>9.7110000000000003</v>
      </c>
      <c r="BH83" s="5">
        <v>0.263982016945571</v>
      </c>
      <c r="BI83" s="5">
        <f t="shared" si="11"/>
        <v>30.863139999999998</v>
      </c>
      <c r="BJ83" s="5">
        <v>44.636363636363598</v>
      </c>
      <c r="BK83" s="5">
        <f t="shared" si="12"/>
        <v>0.4155783269707321</v>
      </c>
      <c r="BL83" s="5">
        <v>0.61058973467732602</v>
      </c>
      <c r="BM83" s="98">
        <v>1273.1441465563701</v>
      </c>
      <c r="BN83" s="5">
        <v>1.1244459902112001</v>
      </c>
      <c r="BO83" s="6"/>
      <c r="BP83" s="6"/>
      <c r="BQ83" s="6"/>
      <c r="BR83" s="6"/>
      <c r="BS83" s="2" t="s">
        <v>427</v>
      </c>
      <c r="BT83" s="52" t="s">
        <v>324</v>
      </c>
    </row>
    <row r="84" spans="1:72">
      <c r="A84" s="2" t="s">
        <v>325</v>
      </c>
      <c r="B84" s="2" t="s">
        <v>323</v>
      </c>
      <c r="C84" s="2" t="s">
        <v>311</v>
      </c>
      <c r="D84" s="2" t="s">
        <v>426</v>
      </c>
      <c r="E84" s="2">
        <v>3023</v>
      </c>
      <c r="F84" s="5">
        <v>49.52</v>
      </c>
      <c r="G84" s="5">
        <v>0.19</v>
      </c>
      <c r="H84" s="5">
        <v>8.19</v>
      </c>
      <c r="I84" s="5">
        <v>9.06</v>
      </c>
      <c r="J84" s="5">
        <v>0.18</v>
      </c>
      <c r="K84" s="5">
        <v>17.5</v>
      </c>
      <c r="L84" s="5">
        <v>9.73</v>
      </c>
      <c r="M84" s="5">
        <v>0.55000000000000004</v>
      </c>
      <c r="N84" s="5">
        <v>0.24</v>
      </c>
      <c r="O84" s="5">
        <v>0.02</v>
      </c>
      <c r="P84" s="5">
        <v>3.38</v>
      </c>
      <c r="Q84" s="5">
        <f t="shared" si="8"/>
        <v>95.179999999999993</v>
      </c>
      <c r="R84" s="5">
        <f t="shared" si="9"/>
        <v>79.279927488262103</v>
      </c>
      <c r="S84" s="5">
        <f t="shared" si="10"/>
        <v>1138.7629898585201</v>
      </c>
      <c r="T84" s="5"/>
      <c r="U84" s="5"/>
      <c r="V84" s="5"/>
      <c r="W84" s="5">
        <v>166</v>
      </c>
      <c r="X84" s="5">
        <v>1790</v>
      </c>
      <c r="Y84" s="5">
        <v>57</v>
      </c>
      <c r="Z84" s="5">
        <v>500</v>
      </c>
      <c r="AA84" s="5"/>
      <c r="AB84" s="5"/>
      <c r="AC84" s="5">
        <v>6</v>
      </c>
      <c r="AD84" s="5">
        <v>10</v>
      </c>
      <c r="AE84" s="5">
        <v>58</v>
      </c>
      <c r="AF84" s="5">
        <v>6.1</v>
      </c>
      <c r="AG84" s="5">
        <v>16</v>
      </c>
      <c r="AH84" s="5">
        <v>0.8</v>
      </c>
      <c r="AI84" s="5"/>
      <c r="AJ84" s="5">
        <v>0.2</v>
      </c>
      <c r="AK84" s="5">
        <v>38</v>
      </c>
      <c r="AL84" s="5">
        <v>1.07</v>
      </c>
      <c r="AM84" s="5">
        <v>2.21</v>
      </c>
      <c r="AN84" s="5">
        <v>0.26</v>
      </c>
      <c r="AO84" s="5">
        <v>1.1000000000000001</v>
      </c>
      <c r="AP84" s="5"/>
      <c r="AQ84" s="5">
        <v>0.187</v>
      </c>
      <c r="AR84" s="5">
        <v>0.78</v>
      </c>
      <c r="AS84" s="5">
        <v>0.15</v>
      </c>
      <c r="AT84" s="5">
        <v>1.02</v>
      </c>
      <c r="AU84" s="5">
        <v>0.22</v>
      </c>
      <c r="AV84" s="5">
        <v>0.7</v>
      </c>
      <c r="AW84" s="5">
        <v>0.11</v>
      </c>
      <c r="AX84" s="5">
        <v>0.73</v>
      </c>
      <c r="AY84" s="5">
        <v>0.113</v>
      </c>
      <c r="AZ84" s="5">
        <v>0.5</v>
      </c>
      <c r="BA84" s="5">
        <v>0.15</v>
      </c>
      <c r="BB84" s="5"/>
      <c r="BC84" s="5"/>
      <c r="BD84" s="5">
        <v>0.11</v>
      </c>
      <c r="BE84" s="5">
        <v>0.08</v>
      </c>
      <c r="BF84" s="5">
        <v>1.873</v>
      </c>
      <c r="BG84" s="5">
        <v>8.65</v>
      </c>
      <c r="BH84" s="5">
        <v>0.72039952287950104</v>
      </c>
      <c r="BI84" s="5">
        <f t="shared" si="11"/>
        <v>45.289933333333337</v>
      </c>
      <c r="BJ84" s="5">
        <v>43.105263157894697</v>
      </c>
      <c r="BK84" s="5">
        <f t="shared" si="12"/>
        <v>1.0513843130454887</v>
      </c>
      <c r="BL84" s="5">
        <v>0.88391160883911601</v>
      </c>
      <c r="BM84" s="98">
        <v>1238.22770510908</v>
      </c>
      <c r="BN84" s="5">
        <v>0.71648775745556603</v>
      </c>
      <c r="BO84" s="6"/>
      <c r="BP84" s="6"/>
      <c r="BQ84" s="6"/>
      <c r="BR84" s="6"/>
      <c r="BS84" s="2" t="s">
        <v>427</v>
      </c>
      <c r="BT84" s="52" t="s">
        <v>324</v>
      </c>
    </row>
    <row r="85" spans="1:72">
      <c r="A85" s="2" t="s">
        <v>334</v>
      </c>
      <c r="B85" s="2" t="s">
        <v>323</v>
      </c>
      <c r="C85" s="2" t="s">
        <v>309</v>
      </c>
      <c r="D85" s="2" t="s">
        <v>426</v>
      </c>
      <c r="E85" s="2">
        <v>3023</v>
      </c>
      <c r="F85" s="5">
        <v>51.85</v>
      </c>
      <c r="G85" s="5">
        <v>0.49</v>
      </c>
      <c r="H85" s="5">
        <v>14.36</v>
      </c>
      <c r="I85" s="5">
        <v>9.94</v>
      </c>
      <c r="J85" s="5">
        <v>0.09</v>
      </c>
      <c r="K85" s="5">
        <v>9.64</v>
      </c>
      <c r="L85" s="5">
        <v>8.73</v>
      </c>
      <c r="M85" s="5">
        <v>1.89</v>
      </c>
      <c r="N85" s="5">
        <v>0.1</v>
      </c>
      <c r="O85" s="5">
        <v>0.05</v>
      </c>
      <c r="P85" s="5"/>
      <c r="Q85" s="5">
        <f t="shared" si="8"/>
        <v>97.14</v>
      </c>
      <c r="R85" s="5">
        <f t="shared" si="9"/>
        <v>65.766466051864128</v>
      </c>
      <c r="S85" s="5">
        <f t="shared" si="10"/>
        <v>2936.80981595092</v>
      </c>
      <c r="T85" s="5"/>
      <c r="U85" s="5"/>
      <c r="V85" s="5">
        <v>41</v>
      </c>
      <c r="W85" s="5">
        <v>229</v>
      </c>
      <c r="X85" s="5">
        <v>290</v>
      </c>
      <c r="Y85" s="5">
        <v>34</v>
      </c>
      <c r="Z85" s="5"/>
      <c r="AA85" s="5">
        <v>70</v>
      </c>
      <c r="AB85" s="5">
        <v>60</v>
      </c>
      <c r="AC85" s="5">
        <v>11</v>
      </c>
      <c r="AD85" s="5">
        <v>1</v>
      </c>
      <c r="AE85" s="5">
        <v>96</v>
      </c>
      <c r="AF85" s="5">
        <v>15</v>
      </c>
      <c r="AG85" s="5">
        <v>33</v>
      </c>
      <c r="AH85" s="5">
        <v>1</v>
      </c>
      <c r="AI85" s="5"/>
      <c r="AJ85" s="5"/>
      <c r="AK85" s="5">
        <v>21</v>
      </c>
      <c r="AL85" s="5">
        <v>3.6</v>
      </c>
      <c r="AM85" s="5">
        <v>7.87</v>
      </c>
      <c r="AN85" s="5">
        <v>1.01</v>
      </c>
      <c r="AO85" s="5">
        <v>4.74</v>
      </c>
      <c r="AP85" s="5">
        <v>1.43</v>
      </c>
      <c r="AQ85" s="5">
        <v>0.54900000000000004</v>
      </c>
      <c r="AR85" s="5">
        <v>2.17</v>
      </c>
      <c r="AS85" s="5">
        <v>0.39</v>
      </c>
      <c r="AT85" s="5">
        <v>2.48</v>
      </c>
      <c r="AU85" s="5">
        <v>0.53</v>
      </c>
      <c r="AV85" s="5">
        <v>1.63</v>
      </c>
      <c r="AW85" s="5">
        <v>0.249</v>
      </c>
      <c r="AX85" s="5">
        <v>1.71</v>
      </c>
      <c r="AY85" s="5">
        <v>0.29099999999999998</v>
      </c>
      <c r="AZ85" s="5">
        <v>1</v>
      </c>
      <c r="BA85" s="5">
        <v>0.36</v>
      </c>
      <c r="BB85" s="5"/>
      <c r="BC85" s="5"/>
      <c r="BD85" s="5">
        <v>0.43</v>
      </c>
      <c r="BE85" s="5">
        <v>0.15</v>
      </c>
      <c r="BF85" s="5">
        <v>4.41</v>
      </c>
      <c r="BG85" s="5">
        <v>28.649000000000001</v>
      </c>
      <c r="BH85" s="5">
        <v>0.26764843384759202</v>
      </c>
      <c r="BI85" s="5">
        <f t="shared" si="11"/>
        <v>99.377911111111118</v>
      </c>
      <c r="BJ85" s="5">
        <v>29.3061224489796</v>
      </c>
      <c r="BK85" s="5">
        <f t="shared" si="12"/>
        <v>1.5101043748612037</v>
      </c>
      <c r="BL85" s="5">
        <v>1.0497858596206699</v>
      </c>
      <c r="BM85" s="98">
        <v>1262.4231016229101</v>
      </c>
      <c r="BN85" s="5">
        <v>0.93089489990407204</v>
      </c>
      <c r="BO85" s="6">
        <v>1.61799999999982</v>
      </c>
      <c r="BP85" s="6">
        <f>(BN85-1)*0.4+BO85</f>
        <v>1.5903579599614488</v>
      </c>
      <c r="BQ85" s="6"/>
      <c r="BR85" s="6"/>
      <c r="BS85" s="2" t="s">
        <v>427</v>
      </c>
      <c r="BT85" s="52" t="s">
        <v>324</v>
      </c>
    </row>
    <row r="86" spans="1:72">
      <c r="A86" s="2">
        <v>74436</v>
      </c>
      <c r="B86" s="2" t="s">
        <v>323</v>
      </c>
      <c r="C86" s="2" t="s">
        <v>337</v>
      </c>
      <c r="D86" s="2" t="s">
        <v>467</v>
      </c>
      <c r="E86" s="2">
        <v>2817</v>
      </c>
      <c r="F86" s="5">
        <v>51.5</v>
      </c>
      <c r="G86" s="5">
        <v>0.36</v>
      </c>
      <c r="H86" s="5">
        <v>11.3</v>
      </c>
      <c r="I86" s="5">
        <v>10.15</v>
      </c>
      <c r="J86" s="5">
        <v>0.19</v>
      </c>
      <c r="K86" s="5">
        <v>9.93</v>
      </c>
      <c r="L86" s="5">
        <v>12.92</v>
      </c>
      <c r="M86" s="5">
        <v>0.67</v>
      </c>
      <c r="N86" s="5">
        <v>0.05</v>
      </c>
      <c r="O86" s="5">
        <v>0.06</v>
      </c>
      <c r="P86" s="5"/>
      <c r="Q86" s="5">
        <f t="shared" si="8"/>
        <v>97.13000000000001</v>
      </c>
      <c r="R86" s="5">
        <f t="shared" si="9"/>
        <v>65.962803760553783</v>
      </c>
      <c r="S86" s="5">
        <f t="shared" si="10"/>
        <v>2157.6561913108799</v>
      </c>
      <c r="T86" s="5"/>
      <c r="U86" s="5"/>
      <c r="V86" s="5"/>
      <c r="W86" s="5">
        <v>253</v>
      </c>
      <c r="X86" s="5">
        <v>1243</v>
      </c>
      <c r="Y86" s="5">
        <v>88</v>
      </c>
      <c r="Z86" s="5"/>
      <c r="AA86" s="5">
        <v>54</v>
      </c>
      <c r="AB86" s="5">
        <v>73</v>
      </c>
      <c r="AC86" s="5"/>
      <c r="AD86" s="5">
        <v>5</v>
      </c>
      <c r="AE86" s="5">
        <v>52</v>
      </c>
      <c r="AF86" s="5">
        <v>18</v>
      </c>
      <c r="AG86" s="5">
        <v>34</v>
      </c>
      <c r="AH86" s="5">
        <v>5</v>
      </c>
      <c r="AI86" s="5"/>
      <c r="AJ86" s="5"/>
      <c r="AK86" s="5">
        <v>34</v>
      </c>
      <c r="AL86" s="5">
        <v>10</v>
      </c>
      <c r="AM86" s="5">
        <v>10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7</v>
      </c>
      <c r="BE86" s="5"/>
      <c r="BF86" s="5"/>
      <c r="BG86" s="5">
        <v>20</v>
      </c>
      <c r="BH86" s="5">
        <v>0.48176718092566601</v>
      </c>
      <c r="BI86" s="5">
        <f t="shared" si="11"/>
        <v>48.068263157894741</v>
      </c>
      <c r="BJ86" s="5">
        <v>31.3888888888889</v>
      </c>
      <c r="BK86" s="5"/>
      <c r="BL86" s="5"/>
      <c r="BM86" s="98">
        <v>1278.06249204698</v>
      </c>
      <c r="BN86" s="5">
        <v>0.82846430004401195</v>
      </c>
      <c r="BO86" s="6"/>
      <c r="BP86" s="6"/>
      <c r="BQ86" s="6"/>
      <c r="BR86" s="6"/>
      <c r="BS86" s="2" t="s">
        <v>295</v>
      </c>
      <c r="BT86" s="52" t="s">
        <v>335</v>
      </c>
    </row>
    <row r="87" spans="1:72">
      <c r="A87" s="2">
        <v>81573</v>
      </c>
      <c r="B87" s="2" t="s">
        <v>323</v>
      </c>
      <c r="C87" s="2" t="s">
        <v>337</v>
      </c>
      <c r="D87" s="2" t="s">
        <v>467</v>
      </c>
      <c r="E87" s="2">
        <v>2817</v>
      </c>
      <c r="F87" s="5">
        <v>49.2</v>
      </c>
      <c r="G87" s="5">
        <v>0.28000000000000003</v>
      </c>
      <c r="H87" s="5">
        <v>11.4</v>
      </c>
      <c r="I87" s="5">
        <v>9.32</v>
      </c>
      <c r="J87" s="5">
        <v>0.17</v>
      </c>
      <c r="K87" s="5">
        <v>15.9</v>
      </c>
      <c r="L87" s="5">
        <v>8.16</v>
      </c>
      <c r="M87" s="5">
        <v>0.91</v>
      </c>
      <c r="N87" s="5">
        <v>0.25</v>
      </c>
      <c r="O87" s="5">
        <v>0.06</v>
      </c>
      <c r="P87" s="5"/>
      <c r="Q87" s="5">
        <f t="shared" si="8"/>
        <v>95.65</v>
      </c>
      <c r="R87" s="5">
        <f t="shared" si="9"/>
        <v>77.165973319705856</v>
      </c>
      <c r="S87" s="5">
        <f t="shared" si="10"/>
        <v>1678.1770376862401</v>
      </c>
      <c r="T87" s="5"/>
      <c r="U87" s="5"/>
      <c r="V87" s="5"/>
      <c r="W87" s="5">
        <v>180</v>
      </c>
      <c r="X87" s="5">
        <v>2079</v>
      </c>
      <c r="Y87" s="5">
        <v>72</v>
      </c>
      <c r="Z87" s="5"/>
      <c r="AA87" s="5">
        <v>61</v>
      </c>
      <c r="AB87" s="5">
        <v>50</v>
      </c>
      <c r="AC87" s="5"/>
      <c r="AD87" s="5">
        <v>6</v>
      </c>
      <c r="AE87" s="5">
        <v>47</v>
      </c>
      <c r="AF87" s="5">
        <v>10</v>
      </c>
      <c r="AG87" s="5">
        <v>25</v>
      </c>
      <c r="AH87" s="5">
        <v>5</v>
      </c>
      <c r="AI87" s="5"/>
      <c r="AJ87" s="5"/>
      <c r="AK87" s="5">
        <v>36</v>
      </c>
      <c r="AL87" s="5">
        <v>6</v>
      </c>
      <c r="AM87" s="5">
        <v>5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5</v>
      </c>
      <c r="BE87" s="5"/>
      <c r="BF87" s="5"/>
      <c r="BG87" s="5">
        <v>11</v>
      </c>
      <c r="BH87" s="5">
        <v>0.80294530154277699</v>
      </c>
      <c r="BI87" s="5">
        <f t="shared" si="11"/>
        <v>49.330211764705879</v>
      </c>
      <c r="BJ87" s="5">
        <v>40.714285714285701</v>
      </c>
      <c r="BK87" s="5"/>
      <c r="BL87" s="5"/>
      <c r="BM87" s="98">
        <v>1244.7845338054599</v>
      </c>
      <c r="BN87" s="5">
        <v>0.88605112800838504</v>
      </c>
      <c r="BO87" s="6"/>
      <c r="BP87" s="6"/>
      <c r="BQ87" s="6"/>
      <c r="BR87" s="6"/>
      <c r="BS87" s="2" t="s">
        <v>295</v>
      </c>
      <c r="BT87" s="52" t="s">
        <v>335</v>
      </c>
    </row>
    <row r="88" spans="1:72">
      <c r="A88" s="2">
        <v>81573</v>
      </c>
      <c r="B88" s="2" t="s">
        <v>323</v>
      </c>
      <c r="C88" s="2" t="s">
        <v>337</v>
      </c>
      <c r="D88" s="2" t="s">
        <v>467</v>
      </c>
      <c r="E88" s="2">
        <v>2817</v>
      </c>
      <c r="F88" s="5">
        <v>49.58</v>
      </c>
      <c r="G88" s="5">
        <v>0.3</v>
      </c>
      <c r="H88" s="5">
        <v>11.55</v>
      </c>
      <c r="I88" s="5">
        <v>10.19</v>
      </c>
      <c r="J88" s="5">
        <v>0.17</v>
      </c>
      <c r="K88" s="5">
        <v>15.88</v>
      </c>
      <c r="L88" s="5">
        <v>8.17</v>
      </c>
      <c r="M88" s="5">
        <v>0.3</v>
      </c>
      <c r="N88" s="5">
        <v>0.86</v>
      </c>
      <c r="O88" s="5">
        <v>0.03</v>
      </c>
      <c r="P88" s="5"/>
      <c r="Q88" s="5">
        <f t="shared" si="8"/>
        <v>97.029999999999987</v>
      </c>
      <c r="R88" s="5">
        <f t="shared" si="9"/>
        <v>75.532252081857919</v>
      </c>
      <c r="S88" s="5">
        <f t="shared" si="10"/>
        <v>1798.0468260924001</v>
      </c>
      <c r="T88" s="5"/>
      <c r="U88" s="5"/>
      <c r="V88" s="5">
        <v>38</v>
      </c>
      <c r="W88" s="5">
        <v>175</v>
      </c>
      <c r="X88" s="5">
        <v>2415</v>
      </c>
      <c r="Y88" s="5"/>
      <c r="Z88" s="5"/>
      <c r="AA88" s="5">
        <v>55.9</v>
      </c>
      <c r="AB88" s="5">
        <v>52</v>
      </c>
      <c r="AC88" s="5">
        <v>8.6</v>
      </c>
      <c r="AD88" s="5">
        <v>6.9</v>
      </c>
      <c r="AE88" s="5">
        <v>43.2</v>
      </c>
      <c r="AF88" s="5">
        <v>8.8000000000000007</v>
      </c>
      <c r="AG88" s="5">
        <v>18</v>
      </c>
      <c r="AH88" s="5">
        <v>0.9</v>
      </c>
      <c r="AI88" s="5"/>
      <c r="AJ88" s="5"/>
      <c r="AK88" s="5">
        <v>21.2</v>
      </c>
      <c r="AL88" s="5">
        <v>1.6</v>
      </c>
      <c r="AM88" s="5">
        <v>3</v>
      </c>
      <c r="AN88" s="5">
        <v>0.5</v>
      </c>
      <c r="AO88" s="5">
        <v>2.1</v>
      </c>
      <c r="AP88" s="5">
        <v>0.6</v>
      </c>
      <c r="AQ88" s="5">
        <v>0.2</v>
      </c>
      <c r="AR88" s="5">
        <v>0.9</v>
      </c>
      <c r="AS88" s="5">
        <v>0.2</v>
      </c>
      <c r="AT88" s="5">
        <v>1.5</v>
      </c>
      <c r="AU88" s="5">
        <v>0.4</v>
      </c>
      <c r="AV88" s="5">
        <v>1.2</v>
      </c>
      <c r="AW88" s="5">
        <v>0.1</v>
      </c>
      <c r="AX88" s="5">
        <v>1.1000000000000001</v>
      </c>
      <c r="AY88" s="5">
        <v>0.2</v>
      </c>
      <c r="AZ88" s="5">
        <v>0.5</v>
      </c>
      <c r="BA88" s="5">
        <v>0.2</v>
      </c>
      <c r="BB88" s="5"/>
      <c r="BC88" s="5"/>
      <c r="BD88" s="5">
        <v>0.2</v>
      </c>
      <c r="BE88" s="5"/>
      <c r="BF88" s="5">
        <v>3</v>
      </c>
      <c r="BG88" s="5">
        <v>13.6</v>
      </c>
      <c r="BH88" s="5">
        <v>0.54198807854137498</v>
      </c>
      <c r="BI88" s="5">
        <f t="shared" si="11"/>
        <v>53.935070588235291</v>
      </c>
      <c r="BJ88" s="5">
        <v>38.5</v>
      </c>
      <c r="BK88" s="5">
        <f>(AL88/0.237)/(AX88/0.17)</f>
        <v>1.0433448408131953</v>
      </c>
      <c r="BL88" s="5">
        <v>0.67684140676841398</v>
      </c>
      <c r="BM88" s="98">
        <v>1244.7845338054599</v>
      </c>
      <c r="BN88" s="5">
        <v>0.88605112800838504</v>
      </c>
      <c r="BO88" s="6"/>
      <c r="BP88" s="6"/>
      <c r="BQ88" s="6"/>
      <c r="BR88" s="6"/>
      <c r="BS88" s="2" t="s">
        <v>295</v>
      </c>
      <c r="BT88" s="52" t="s">
        <v>328</v>
      </c>
    </row>
    <row r="89" spans="1:72">
      <c r="A89" s="2">
        <v>81573</v>
      </c>
      <c r="B89" s="2" t="s">
        <v>323</v>
      </c>
      <c r="C89" s="2" t="s">
        <v>172</v>
      </c>
      <c r="D89" s="2" t="s">
        <v>467</v>
      </c>
      <c r="E89" s="2">
        <v>2817</v>
      </c>
      <c r="F89" s="5">
        <v>51.097599608392997</v>
      </c>
      <c r="G89" s="5">
        <v>0.309182731498376</v>
      </c>
      <c r="H89" s="5">
        <v>11.9035349617187</v>
      </c>
      <c r="I89" s="5">
        <v>10.5019059969755</v>
      </c>
      <c r="J89" s="5">
        <v>0.17520354200896199</v>
      </c>
      <c r="K89" s="5">
        <v>16.3660721551453</v>
      </c>
      <c r="L89" s="5">
        <v>8.4200761895852896</v>
      </c>
      <c r="M89" s="5">
        <v>0.88632381105730895</v>
      </c>
      <c r="N89" s="5">
        <v>0.309182731498376</v>
      </c>
      <c r="O89" s="5">
        <v>3.0918272119228499E-2</v>
      </c>
      <c r="P89" s="5"/>
      <c r="Q89" s="5">
        <f t="shared" si="8"/>
        <v>100.00000000000003</v>
      </c>
      <c r="R89" s="5">
        <f t="shared" si="9"/>
        <v>75.532252971606013</v>
      </c>
      <c r="S89" s="5">
        <f t="shared" si="10"/>
        <v>1853.0834301774457</v>
      </c>
      <c r="T89" s="5"/>
      <c r="U89" s="5"/>
      <c r="V89" s="5">
        <v>38.943831822139799</v>
      </c>
      <c r="W89" s="5">
        <v>179.346593917749</v>
      </c>
      <c r="X89" s="5">
        <v>2474.9829960649399</v>
      </c>
      <c r="Y89" s="5">
        <v>67.536804649028298</v>
      </c>
      <c r="Z89" s="5"/>
      <c r="AA89" s="5">
        <v>57.2884278537284</v>
      </c>
      <c r="AB89" s="5">
        <v>53.291559335559697</v>
      </c>
      <c r="AC89" s="5"/>
      <c r="AD89" s="5">
        <v>7.0713800912407301</v>
      </c>
      <c r="AE89" s="5">
        <v>44.272988534572399</v>
      </c>
      <c r="AF89" s="5">
        <v>9.0185717745831209</v>
      </c>
      <c r="AG89" s="5">
        <v>18.447078231539901</v>
      </c>
      <c r="AH89" s="5">
        <v>0.92235389108024202</v>
      </c>
      <c r="AI89" s="5"/>
      <c r="AJ89" s="5"/>
      <c r="AK89" s="5">
        <v>21.726559584912501</v>
      </c>
      <c r="AL89" s="5">
        <v>1.6397403077447501</v>
      </c>
      <c r="AM89" s="5">
        <v>3.0745130385899899</v>
      </c>
      <c r="AN89" s="5">
        <v>0.51241883976499802</v>
      </c>
      <c r="AO89" s="5">
        <v>2.1521590245292201</v>
      </c>
      <c r="AP89" s="5">
        <v>0.61490262821475095</v>
      </c>
      <c r="AQ89" s="5">
        <v>0.204967535905999</v>
      </c>
      <c r="AR89" s="5">
        <v>0.92235389108024202</v>
      </c>
      <c r="AS89" s="5">
        <v>0.204967535905999</v>
      </c>
      <c r="AT89" s="5">
        <v>1.5372565192949901</v>
      </c>
      <c r="AU89" s="5">
        <v>0.40993508206037499</v>
      </c>
      <c r="AV89" s="5">
        <v>1.22980526667788</v>
      </c>
      <c r="AW89" s="5">
        <v>0.102483767953</v>
      </c>
      <c r="AX89" s="5">
        <v>1.1273214679797501</v>
      </c>
      <c r="AY89" s="5">
        <v>0.204967535905999</v>
      </c>
      <c r="AZ89" s="5">
        <v>0.51241883976499802</v>
      </c>
      <c r="BA89" s="5">
        <v>0.204967535905999</v>
      </c>
      <c r="BB89" s="5"/>
      <c r="BC89" s="5"/>
      <c r="BD89" s="5">
        <v>0.204967535905999</v>
      </c>
      <c r="BE89" s="5"/>
      <c r="BF89" s="5">
        <v>3.074513120577</v>
      </c>
      <c r="BG89" s="5">
        <v>13.9377924416079</v>
      </c>
      <c r="BH89" s="5">
        <v>0.54198805972234299</v>
      </c>
      <c r="BI89" s="5">
        <f t="shared" si="11"/>
        <v>53.935068365200003</v>
      </c>
      <c r="BJ89" s="5">
        <v>38.499999350000003</v>
      </c>
      <c r="BK89" s="5">
        <f>(AL89/0.237)/(AX89/0.17)</f>
        <v>1.0433448348851009</v>
      </c>
      <c r="BL89" s="5">
        <v>0.67684137942128597</v>
      </c>
      <c r="BM89" s="98">
        <v>1244.7845338054599</v>
      </c>
      <c r="BN89" s="5">
        <v>0.88605112800838504</v>
      </c>
      <c r="BO89" s="6"/>
      <c r="BP89" s="6"/>
      <c r="BQ89" s="6"/>
      <c r="BR89" s="6"/>
      <c r="BS89" s="2" t="s">
        <v>295</v>
      </c>
      <c r="BT89" s="52" t="s">
        <v>341</v>
      </c>
    </row>
    <row r="90" spans="1:72">
      <c r="A90" s="2">
        <v>81574</v>
      </c>
      <c r="B90" s="2" t="s">
        <v>323</v>
      </c>
      <c r="C90" s="2" t="s">
        <v>338</v>
      </c>
      <c r="D90" s="2" t="s">
        <v>467</v>
      </c>
      <c r="E90" s="2">
        <v>2817</v>
      </c>
      <c r="F90" s="5">
        <v>53.301721172235503</v>
      </c>
      <c r="G90" s="5">
        <v>0.232053671114063</v>
      </c>
      <c r="H90" s="5">
        <v>12.6015230384448</v>
      </c>
      <c r="I90" s="5">
        <v>10.946880085947701</v>
      </c>
      <c r="J90" s="5">
        <v>0.18160723096116599</v>
      </c>
      <c r="K90" s="5">
        <v>13.9938451862007</v>
      </c>
      <c r="L90" s="5">
        <v>7.3046457630150998</v>
      </c>
      <c r="M90" s="5">
        <v>1.3620541767176499</v>
      </c>
      <c r="N90" s="5">
        <v>5.04464502421876E-2</v>
      </c>
      <c r="O90" s="5">
        <v>2.52232251210938E-2</v>
      </c>
      <c r="P90" s="5"/>
      <c r="Q90" s="5">
        <f t="shared" si="8"/>
        <v>99.999999999999972</v>
      </c>
      <c r="R90" s="5">
        <f t="shared" si="9"/>
        <v>71.689538077128972</v>
      </c>
      <c r="S90" s="5">
        <f t="shared" si="10"/>
        <v>1390.8112227657687</v>
      </c>
      <c r="T90" s="5"/>
      <c r="U90" s="5"/>
      <c r="V90" s="5">
        <v>34.343035861646896</v>
      </c>
      <c r="W90" s="5">
        <v>154.54366137741101</v>
      </c>
      <c r="X90" s="5">
        <v>2043.41063376799</v>
      </c>
      <c r="Y90" s="5">
        <v>66.867907920434206</v>
      </c>
      <c r="Z90" s="5"/>
      <c r="AA90" s="5">
        <v>51.615561176038497</v>
      </c>
      <c r="AB90" s="5">
        <v>63.635625273051602</v>
      </c>
      <c r="AC90" s="5"/>
      <c r="AD90" s="5">
        <v>1.4141249858660301</v>
      </c>
      <c r="AE90" s="5">
        <v>31.009741972154899</v>
      </c>
      <c r="AF90" s="5">
        <v>6.9696162023431496</v>
      </c>
      <c r="AG90" s="5">
        <v>16.161428640775</v>
      </c>
      <c r="AH90" s="5">
        <v>0.60605359423084804</v>
      </c>
      <c r="AI90" s="5"/>
      <c r="AJ90" s="5"/>
      <c r="AK90" s="5">
        <v>21.211875091017198</v>
      </c>
      <c r="AL90" s="5">
        <v>1.3131160265585</v>
      </c>
      <c r="AM90" s="5">
        <v>2.9292590421494</v>
      </c>
      <c r="AN90" s="5">
        <v>0.404035726120268</v>
      </c>
      <c r="AO90" s="5">
        <v>1.7171518435868101</v>
      </c>
      <c r="AP90" s="5">
        <v>0.60605359423084804</v>
      </c>
      <c r="AQ90" s="5">
        <v>0.30302679711542402</v>
      </c>
      <c r="AR90" s="5">
        <v>0.909080340841808</v>
      </c>
      <c r="AS90" s="5">
        <v>0.101008929004844</v>
      </c>
      <c r="AT90" s="5">
        <v>1.1110982392550699</v>
      </c>
      <c r="AU90" s="5">
        <v>0.30302679711542402</v>
      </c>
      <c r="AV90" s="5">
        <v>0.909080340841808</v>
      </c>
      <c r="AW90" s="5">
        <v>0.101008929004844</v>
      </c>
      <c r="AX90" s="5">
        <v>1.0100892900484399</v>
      </c>
      <c r="AY90" s="5">
        <v>0.202017858009688</v>
      </c>
      <c r="AZ90" s="5">
        <v>0.50504464502421897</v>
      </c>
      <c r="BA90" s="5">
        <v>0.202017858009688</v>
      </c>
      <c r="BB90" s="5"/>
      <c r="BC90" s="5"/>
      <c r="BD90" s="5">
        <v>0.30302679711542402</v>
      </c>
      <c r="BE90" s="5"/>
      <c r="BF90" s="5">
        <v>2.5252232150201999</v>
      </c>
      <c r="BG90" s="5">
        <v>11.919053753883199</v>
      </c>
      <c r="BH90" s="5">
        <v>0.44470819893607599</v>
      </c>
      <c r="BI90" s="5">
        <f t="shared" si="11"/>
        <v>54.237943330802828</v>
      </c>
      <c r="BJ90" s="5">
        <v>54.304346826086999</v>
      </c>
      <c r="BK90" s="5">
        <f>(AL90/0.237)/(AX90/0.17)</f>
        <v>0.93248941561180909</v>
      </c>
      <c r="BL90" s="5">
        <v>0.74452553090024198</v>
      </c>
      <c r="BM90" s="98">
        <v>1254.84905797141</v>
      </c>
      <c r="BN90" s="5">
        <v>0.77505579015596704</v>
      </c>
      <c r="BO90" s="6"/>
      <c r="BP90" s="6"/>
      <c r="BQ90" s="6"/>
      <c r="BR90" s="6"/>
      <c r="BS90" s="2" t="s">
        <v>295</v>
      </c>
      <c r="BT90" s="52" t="s">
        <v>339</v>
      </c>
    </row>
    <row r="91" spans="1:72">
      <c r="A91" s="2">
        <v>81574</v>
      </c>
      <c r="B91" s="2" t="s">
        <v>323</v>
      </c>
      <c r="C91" s="2" t="s">
        <v>338</v>
      </c>
      <c r="D91" s="2" t="s">
        <v>467</v>
      </c>
      <c r="E91" s="2">
        <v>2817</v>
      </c>
      <c r="F91" s="5">
        <v>52.83</v>
      </c>
      <c r="G91" s="5">
        <v>0.23</v>
      </c>
      <c r="H91" s="5">
        <v>12.49</v>
      </c>
      <c r="I91" s="5">
        <v>10.85</v>
      </c>
      <c r="J91" s="5">
        <v>0.18</v>
      </c>
      <c r="K91" s="5">
        <v>13.87</v>
      </c>
      <c r="L91" s="5">
        <v>7.24</v>
      </c>
      <c r="M91" s="5">
        <v>0.05</v>
      </c>
      <c r="N91" s="5">
        <v>1.35</v>
      </c>
      <c r="O91" s="5">
        <v>2.5000000000000001E-2</v>
      </c>
      <c r="P91" s="5"/>
      <c r="Q91" s="5">
        <f t="shared" si="8"/>
        <v>99.114999999999995</v>
      </c>
      <c r="R91" s="5">
        <f t="shared" si="9"/>
        <v>71.689538948904215</v>
      </c>
      <c r="S91" s="5">
        <f t="shared" si="10"/>
        <v>1378.50256667084</v>
      </c>
      <c r="T91" s="5"/>
      <c r="U91" s="5"/>
      <c r="V91" s="5">
        <v>34</v>
      </c>
      <c r="W91" s="5">
        <v>153</v>
      </c>
      <c r="X91" s="5">
        <v>2023</v>
      </c>
      <c r="Y91" s="5"/>
      <c r="Z91" s="5"/>
      <c r="AA91" s="5">
        <v>51.1</v>
      </c>
      <c r="AB91" s="5">
        <v>63</v>
      </c>
      <c r="AC91" s="5">
        <v>8.4</v>
      </c>
      <c r="AD91" s="5">
        <v>1.4</v>
      </c>
      <c r="AE91" s="5">
        <v>30.7</v>
      </c>
      <c r="AF91" s="5">
        <v>6.9</v>
      </c>
      <c r="AG91" s="5">
        <v>16</v>
      </c>
      <c r="AH91" s="5">
        <v>0.6</v>
      </c>
      <c r="AI91" s="5"/>
      <c r="AJ91" s="5"/>
      <c r="AK91" s="5">
        <v>21</v>
      </c>
      <c r="AL91" s="5">
        <v>1.3</v>
      </c>
      <c r="AM91" s="5">
        <v>2.9</v>
      </c>
      <c r="AN91" s="5">
        <v>0.4</v>
      </c>
      <c r="AO91" s="5">
        <v>1.7</v>
      </c>
      <c r="AP91" s="5">
        <v>0.6</v>
      </c>
      <c r="AQ91" s="5">
        <v>0.3</v>
      </c>
      <c r="AR91" s="5">
        <v>0.9</v>
      </c>
      <c r="AS91" s="5">
        <v>0.1</v>
      </c>
      <c r="AT91" s="5">
        <v>1.1000000000000001</v>
      </c>
      <c r="AU91" s="5">
        <v>0.3</v>
      </c>
      <c r="AV91" s="5">
        <v>0.9</v>
      </c>
      <c r="AW91" s="5">
        <v>0.1</v>
      </c>
      <c r="AX91" s="5">
        <v>1</v>
      </c>
      <c r="AY91" s="5">
        <v>0.2</v>
      </c>
      <c r="AZ91" s="5">
        <v>0.5</v>
      </c>
      <c r="BA91" s="5">
        <v>0.2</v>
      </c>
      <c r="BB91" s="5"/>
      <c r="BC91" s="5"/>
      <c r="BD91" s="5">
        <v>0.3</v>
      </c>
      <c r="BE91" s="5"/>
      <c r="BF91" s="5">
        <v>2.5</v>
      </c>
      <c r="BG91" s="5">
        <v>11.8</v>
      </c>
      <c r="BH91" s="5">
        <v>0.44470816700830701</v>
      </c>
      <c r="BI91" s="5">
        <f t="shared" si="11"/>
        <v>54.237944444444452</v>
      </c>
      <c r="BJ91" s="5">
        <v>54.304347826087003</v>
      </c>
      <c r="BK91" s="5">
        <f>(AL91/0.237)/(AX91/0.17)</f>
        <v>0.93248945147679341</v>
      </c>
      <c r="BL91" s="5">
        <v>0.74452554744525601</v>
      </c>
      <c r="BM91" s="98">
        <v>1254.84905797141</v>
      </c>
      <c r="BN91" s="5">
        <v>0.77505579015596704</v>
      </c>
      <c r="BO91" s="6"/>
      <c r="BP91" s="6"/>
      <c r="BQ91" s="6"/>
      <c r="BR91" s="6"/>
      <c r="BS91" s="2" t="s">
        <v>295</v>
      </c>
      <c r="BT91" s="52" t="s">
        <v>328</v>
      </c>
    </row>
    <row r="92" spans="1:72">
      <c r="A92" s="2">
        <v>81575</v>
      </c>
      <c r="B92" s="2" t="s">
        <v>323</v>
      </c>
      <c r="C92" s="2" t="s">
        <v>337</v>
      </c>
      <c r="D92" s="2" t="s">
        <v>467</v>
      </c>
      <c r="E92" s="2">
        <v>2817</v>
      </c>
      <c r="F92" s="5">
        <v>51.7</v>
      </c>
      <c r="G92" s="5">
        <v>0.28999999999999998</v>
      </c>
      <c r="H92" s="5">
        <v>11.2</v>
      </c>
      <c r="I92" s="5">
        <v>9.02</v>
      </c>
      <c r="J92" s="5">
        <v>0.16</v>
      </c>
      <c r="K92" s="5">
        <v>13.8</v>
      </c>
      <c r="L92" s="5">
        <v>8.8699999999999992</v>
      </c>
      <c r="M92" s="5">
        <v>1.69</v>
      </c>
      <c r="N92" s="5">
        <v>0.12</v>
      </c>
      <c r="O92" s="5">
        <v>0.08</v>
      </c>
      <c r="P92" s="5"/>
      <c r="Q92" s="5">
        <f t="shared" si="8"/>
        <v>96.929999999999993</v>
      </c>
      <c r="R92" s="5">
        <f t="shared" si="9"/>
        <v>75.190058014657126</v>
      </c>
      <c r="S92" s="5">
        <f t="shared" si="10"/>
        <v>1738.11193188932</v>
      </c>
      <c r="T92" s="5"/>
      <c r="U92" s="5"/>
      <c r="V92" s="5"/>
      <c r="W92" s="5">
        <v>169</v>
      </c>
      <c r="X92" s="5">
        <v>1938</v>
      </c>
      <c r="Y92" s="5">
        <v>72</v>
      </c>
      <c r="Z92" s="5"/>
      <c r="AA92" s="5">
        <v>48</v>
      </c>
      <c r="AB92" s="5">
        <v>66</v>
      </c>
      <c r="AC92" s="5"/>
      <c r="AD92" s="5">
        <v>2</v>
      </c>
      <c r="AE92" s="5">
        <v>57</v>
      </c>
      <c r="AF92" s="5">
        <v>11</v>
      </c>
      <c r="AG92" s="5">
        <v>31</v>
      </c>
      <c r="AH92" s="5">
        <v>5</v>
      </c>
      <c r="AI92" s="5"/>
      <c r="AJ92" s="5"/>
      <c r="AK92" s="5">
        <v>43</v>
      </c>
      <c r="AL92" s="5">
        <v>6</v>
      </c>
      <c r="AM92" s="5">
        <v>5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>
        <v>5</v>
      </c>
      <c r="BE92" s="5"/>
      <c r="BF92" s="5"/>
      <c r="BG92" s="5">
        <v>11</v>
      </c>
      <c r="BH92" s="5">
        <v>0.80294530154277699</v>
      </c>
      <c r="BI92" s="5">
        <f t="shared" si="11"/>
        <v>50.726224999999999</v>
      </c>
      <c r="BJ92" s="5">
        <v>38.620689655172399</v>
      </c>
      <c r="BK92" s="5"/>
      <c r="BL92" s="5"/>
      <c r="BM92" s="98">
        <v>1254.09002570492</v>
      </c>
      <c r="BN92" s="5">
        <v>0.87696721019296797</v>
      </c>
      <c r="BO92" s="6"/>
      <c r="BP92" s="6"/>
      <c r="BQ92" s="6"/>
      <c r="BR92" s="6"/>
      <c r="BS92" s="2" t="s">
        <v>295</v>
      </c>
      <c r="BT92" s="52" t="s">
        <v>335</v>
      </c>
    </row>
    <row r="93" spans="1:72">
      <c r="A93" s="2">
        <v>81575</v>
      </c>
      <c r="B93" s="2" t="s">
        <v>323</v>
      </c>
      <c r="C93" s="2" t="s">
        <v>333</v>
      </c>
      <c r="D93" s="2" t="s">
        <v>467</v>
      </c>
      <c r="E93" s="2">
        <v>2817</v>
      </c>
      <c r="F93" s="5">
        <v>51.67</v>
      </c>
      <c r="G93" s="5">
        <v>0.3</v>
      </c>
      <c r="H93" s="5">
        <v>11.17</v>
      </c>
      <c r="I93" s="5">
        <v>9.8000000000000007</v>
      </c>
      <c r="J93" s="5">
        <v>0.17</v>
      </c>
      <c r="K93" s="5">
        <v>13.94</v>
      </c>
      <c r="L93" s="5">
        <v>8.84</v>
      </c>
      <c r="M93" s="5">
        <v>0.14000000000000001</v>
      </c>
      <c r="N93" s="5">
        <v>1.73</v>
      </c>
      <c r="O93" s="5">
        <v>3.5000000000000003E-2</v>
      </c>
      <c r="P93" s="5"/>
      <c r="Q93" s="5">
        <f t="shared" si="8"/>
        <v>97.795000000000002</v>
      </c>
      <c r="R93" s="5">
        <f t="shared" si="9"/>
        <v>73.806399508801192</v>
      </c>
      <c r="S93" s="5">
        <f t="shared" si="10"/>
        <v>1798.0468260924001</v>
      </c>
      <c r="T93" s="5"/>
      <c r="U93" s="5"/>
      <c r="V93" s="5">
        <v>36</v>
      </c>
      <c r="W93" s="5">
        <v>168</v>
      </c>
      <c r="X93" s="5">
        <v>2241</v>
      </c>
      <c r="Y93" s="5"/>
      <c r="Z93" s="5"/>
      <c r="AA93" s="5">
        <v>44</v>
      </c>
      <c r="AB93" s="5">
        <v>73</v>
      </c>
      <c r="AC93" s="5">
        <v>8.8000000000000007</v>
      </c>
      <c r="AD93" s="5">
        <v>2.2999999999999998</v>
      </c>
      <c r="AE93" s="5">
        <v>53.7</v>
      </c>
      <c r="AF93" s="5">
        <v>10.8</v>
      </c>
      <c r="AG93" s="5">
        <v>21</v>
      </c>
      <c r="AH93" s="5">
        <v>1</v>
      </c>
      <c r="AI93" s="5"/>
      <c r="AJ93" s="5"/>
      <c r="AK93" s="5">
        <v>31.1</v>
      </c>
      <c r="AL93" s="5">
        <v>2.2000000000000002</v>
      </c>
      <c r="AM93" s="5">
        <v>4.8</v>
      </c>
      <c r="AN93" s="5">
        <v>0.8</v>
      </c>
      <c r="AO93" s="5">
        <v>2.9</v>
      </c>
      <c r="AP93" s="5">
        <v>0.7</v>
      </c>
      <c r="AQ93" s="5">
        <v>0.3</v>
      </c>
      <c r="AR93" s="5">
        <v>1.3</v>
      </c>
      <c r="AS93" s="5">
        <v>0.2</v>
      </c>
      <c r="AT93" s="5">
        <v>1.6</v>
      </c>
      <c r="AU93" s="5">
        <v>0.4</v>
      </c>
      <c r="AV93" s="5">
        <v>1.3</v>
      </c>
      <c r="AW93" s="5">
        <v>0.2</v>
      </c>
      <c r="AX93" s="5">
        <v>1.4</v>
      </c>
      <c r="AY93" s="5">
        <v>0.2</v>
      </c>
      <c r="AZ93" s="5">
        <v>0.8</v>
      </c>
      <c r="BA93" s="5">
        <v>0.2</v>
      </c>
      <c r="BB93" s="5"/>
      <c r="BC93" s="5"/>
      <c r="BD93" s="5">
        <v>0.4</v>
      </c>
      <c r="BE93" s="5">
        <v>0.1</v>
      </c>
      <c r="BF93" s="5">
        <v>3.5</v>
      </c>
      <c r="BG93" s="5">
        <v>18.3</v>
      </c>
      <c r="BH93" s="5">
        <v>0.43797016447787801</v>
      </c>
      <c r="BI93" s="5">
        <f t="shared" si="11"/>
        <v>51.870823529411773</v>
      </c>
      <c r="BJ93" s="5">
        <v>37.233333333333299</v>
      </c>
      <c r="BK93" s="5">
        <f>(AL93/0.237)/(AX93/0.17)</f>
        <v>1.1271850512356842</v>
      </c>
      <c r="BL93" s="5">
        <v>0.76816127911018395</v>
      </c>
      <c r="BM93" s="98">
        <v>1254.09002570492</v>
      </c>
      <c r="BN93" s="5">
        <v>0.87696721019296797</v>
      </c>
      <c r="BO93" s="6"/>
      <c r="BP93" s="6"/>
      <c r="BQ93" s="6"/>
      <c r="BR93" s="6"/>
      <c r="BS93" s="2" t="s">
        <v>295</v>
      </c>
      <c r="BT93" s="52" t="s">
        <v>328</v>
      </c>
    </row>
    <row r="94" spans="1:72">
      <c r="A94" s="2">
        <v>81575</v>
      </c>
      <c r="B94" s="2" t="s">
        <v>323</v>
      </c>
      <c r="C94" s="2" t="s">
        <v>340</v>
      </c>
      <c r="D94" s="2" t="s">
        <v>467</v>
      </c>
      <c r="E94" s="2">
        <v>2817</v>
      </c>
      <c r="F94" s="5">
        <v>52.835011116141096</v>
      </c>
      <c r="G94" s="5">
        <v>0.30676416536812201</v>
      </c>
      <c r="H94" s="5">
        <v>11.421852124948501</v>
      </c>
      <c r="I94" s="5">
        <v>10.0209625956105</v>
      </c>
      <c r="J94" s="5">
        <v>0.173833021247502</v>
      </c>
      <c r="K94" s="5">
        <v>14.254307312825301</v>
      </c>
      <c r="L94" s="5">
        <v>9.0393172582521704</v>
      </c>
      <c r="M94" s="5">
        <v>1.76900664844023</v>
      </c>
      <c r="N94" s="5">
        <v>0.14315660573323699</v>
      </c>
      <c r="O94" s="5">
        <v>3.5789151433309199E-2</v>
      </c>
      <c r="P94" s="5"/>
      <c r="Q94" s="5">
        <f t="shared" si="8"/>
        <v>99.999999999999972</v>
      </c>
      <c r="R94" s="5">
        <f t="shared" si="9"/>
        <v>73.806398551513496</v>
      </c>
      <c r="S94" s="5">
        <f t="shared" si="10"/>
        <v>1838.5877796634529</v>
      </c>
      <c r="T94" s="5"/>
      <c r="U94" s="5"/>
      <c r="V94" s="5">
        <v>36.456465066533397</v>
      </c>
      <c r="W94" s="5">
        <v>170.13017031048901</v>
      </c>
      <c r="X94" s="5">
        <v>2269.4149503917101</v>
      </c>
      <c r="Y94" s="5">
        <v>64.102616972351498</v>
      </c>
      <c r="Z94" s="5"/>
      <c r="AA94" s="5">
        <v>44.557901747985298</v>
      </c>
      <c r="AB94" s="5">
        <v>73.925609718248396</v>
      </c>
      <c r="AC94" s="5"/>
      <c r="AD94" s="5">
        <v>2.3291629952834301</v>
      </c>
      <c r="AE94" s="5">
        <v>54.380894493882202</v>
      </c>
      <c r="AF94" s="5">
        <v>10.936939712369201</v>
      </c>
      <c r="AG94" s="5">
        <v>21.2662712888112</v>
      </c>
      <c r="AH94" s="5">
        <v>1.01267958518148</v>
      </c>
      <c r="AI94" s="5"/>
      <c r="AJ94" s="5"/>
      <c r="AK94" s="5">
        <v>31.494335483962399</v>
      </c>
      <c r="AL94" s="5">
        <v>2.2278951380332401</v>
      </c>
      <c r="AM94" s="5">
        <v>4.8608622012802503</v>
      </c>
      <c r="AN94" s="5">
        <v>0.81014367827198297</v>
      </c>
      <c r="AO94" s="5">
        <v>2.93677089829426</v>
      </c>
      <c r="AP94" s="5">
        <v>0.70887569950024298</v>
      </c>
      <c r="AQ94" s="5">
        <v>0.303803885681241</v>
      </c>
      <c r="AR94" s="5">
        <v>1.31648341010195</v>
      </c>
      <c r="AS94" s="5">
        <v>0.202535917036297</v>
      </c>
      <c r="AT94" s="5">
        <v>1.6202873565439699</v>
      </c>
      <c r="AU94" s="5">
        <v>0.40507184419939002</v>
      </c>
      <c r="AV94" s="5">
        <v>1.31648341010195</v>
      </c>
      <c r="AW94" s="5">
        <v>0.202535917036297</v>
      </c>
      <c r="AX94" s="5">
        <v>1.41775139900049</v>
      </c>
      <c r="AY94" s="5">
        <v>0.202535917036297</v>
      </c>
      <c r="AZ94" s="5">
        <v>0.81014367827198297</v>
      </c>
      <c r="BA94" s="5">
        <v>0.202535917036297</v>
      </c>
      <c r="BB94" s="5"/>
      <c r="BC94" s="5"/>
      <c r="BD94" s="5">
        <v>0.40507184419939002</v>
      </c>
      <c r="BE94" s="5">
        <v>0.101267958518148</v>
      </c>
      <c r="BF94" s="5">
        <v>3.54437848737442</v>
      </c>
      <c r="BG94" s="5">
        <v>18.532036672117901</v>
      </c>
      <c r="BH94" s="5">
        <v>0.43797015452401</v>
      </c>
      <c r="BI94" s="5">
        <f t="shared" si="11"/>
        <v>51.870824535070334</v>
      </c>
      <c r="BJ94" s="5">
        <v>37.233332358888902</v>
      </c>
      <c r="BK94" s="5">
        <f>(AL94/0.237)/(AX94/0.17)</f>
        <v>1.1271850929561653</v>
      </c>
      <c r="BL94" s="5">
        <v>0.76816126053925005</v>
      </c>
      <c r="BM94" s="98">
        <v>1254.09002570492</v>
      </c>
      <c r="BN94" s="5">
        <v>0.87696721019296797</v>
      </c>
      <c r="BO94" s="6"/>
      <c r="BP94" s="6"/>
      <c r="BQ94" s="6"/>
      <c r="BR94" s="6"/>
      <c r="BS94" s="2" t="s">
        <v>295</v>
      </c>
      <c r="BT94" s="52" t="s">
        <v>341</v>
      </c>
    </row>
    <row r="95" spans="1:72">
      <c r="A95" s="2">
        <v>81606</v>
      </c>
      <c r="B95" s="2" t="s">
        <v>323</v>
      </c>
      <c r="C95" s="2" t="s">
        <v>338</v>
      </c>
      <c r="D95" s="2" t="s">
        <v>467</v>
      </c>
      <c r="E95" s="2">
        <v>2817</v>
      </c>
      <c r="F95" s="5">
        <v>53.5</v>
      </c>
      <c r="G95" s="5">
        <v>0.44</v>
      </c>
      <c r="H95" s="5">
        <v>13.26</v>
      </c>
      <c r="I95" s="5">
        <v>9.6999999999999993</v>
      </c>
      <c r="J95" s="5">
        <v>0.18</v>
      </c>
      <c r="K95" s="5">
        <v>9.5</v>
      </c>
      <c r="L95" s="5">
        <v>9.08</v>
      </c>
      <c r="M95" s="5">
        <v>0.15</v>
      </c>
      <c r="N95" s="5">
        <v>1.76</v>
      </c>
      <c r="O95" s="5">
        <v>4.4999999999999998E-2</v>
      </c>
      <c r="P95" s="5"/>
      <c r="Q95" s="5">
        <f t="shared" si="8"/>
        <v>97.615000000000023</v>
      </c>
      <c r="R95" s="5">
        <f t="shared" si="9"/>
        <v>65.987028328557685</v>
      </c>
      <c r="S95" s="5">
        <f t="shared" si="10"/>
        <v>2637.1353449355202</v>
      </c>
      <c r="T95" s="5"/>
      <c r="U95" s="5"/>
      <c r="V95" s="5">
        <v>36</v>
      </c>
      <c r="W95" s="5">
        <v>196</v>
      </c>
      <c r="X95" s="5">
        <v>639</v>
      </c>
      <c r="Y95" s="5"/>
      <c r="Z95" s="5"/>
      <c r="AA95" s="5">
        <v>119.5</v>
      </c>
      <c r="AB95" s="5">
        <v>71</v>
      </c>
      <c r="AC95" s="5">
        <v>11.4</v>
      </c>
      <c r="AD95" s="5">
        <v>3.8</v>
      </c>
      <c r="AE95" s="5">
        <v>74.8</v>
      </c>
      <c r="AF95" s="5">
        <v>10.9</v>
      </c>
      <c r="AG95" s="5">
        <v>44</v>
      </c>
      <c r="AH95" s="5">
        <v>1.8</v>
      </c>
      <c r="AI95" s="5"/>
      <c r="AJ95" s="5"/>
      <c r="AK95" s="5">
        <v>82.1</v>
      </c>
      <c r="AL95" s="5">
        <v>5.4</v>
      </c>
      <c r="AM95" s="5">
        <v>13.3</v>
      </c>
      <c r="AN95" s="5">
        <v>1.3</v>
      </c>
      <c r="AO95" s="5">
        <v>5.2</v>
      </c>
      <c r="AP95" s="5">
        <v>1.3</v>
      </c>
      <c r="AQ95" s="5">
        <v>0.4</v>
      </c>
      <c r="AR95" s="5">
        <v>1.9</v>
      </c>
      <c r="AS95" s="5">
        <v>0.3</v>
      </c>
      <c r="AT95" s="5">
        <v>2.2000000000000002</v>
      </c>
      <c r="AU95" s="5">
        <v>0.4</v>
      </c>
      <c r="AV95" s="5">
        <v>1.3</v>
      </c>
      <c r="AW95" s="5">
        <v>0.2</v>
      </c>
      <c r="AX95" s="5">
        <v>1.6</v>
      </c>
      <c r="AY95" s="5">
        <v>0.2</v>
      </c>
      <c r="AZ95" s="5">
        <v>1.6</v>
      </c>
      <c r="BA95" s="5">
        <v>0.3</v>
      </c>
      <c r="BB95" s="5"/>
      <c r="BC95" s="5"/>
      <c r="BD95" s="5">
        <v>1.9</v>
      </c>
      <c r="BE95" s="5">
        <v>0.3</v>
      </c>
      <c r="BF95" s="5">
        <v>3.7</v>
      </c>
      <c r="BG95" s="5">
        <v>35</v>
      </c>
      <c r="BH95" s="5">
        <v>0.32117812061711098</v>
      </c>
      <c r="BI95" s="5">
        <f t="shared" si="11"/>
        <v>48.489222222222217</v>
      </c>
      <c r="BJ95" s="5">
        <v>30.136363636363601</v>
      </c>
      <c r="BK95" s="5">
        <f>(AL95/0.237)/(AX95/0.17)</f>
        <v>2.4208860759493676</v>
      </c>
      <c r="BL95" s="5">
        <v>0.98236009732360097</v>
      </c>
      <c r="BM95" s="98">
        <v>1226.9131625115399</v>
      </c>
      <c r="BN95" s="5">
        <v>0.65847163069694503</v>
      </c>
      <c r="BO95" s="6">
        <v>0.94699999999989104</v>
      </c>
      <c r="BP95" s="6">
        <f>(BN95-1)*0.4+BO95</f>
        <v>0.81038865227866907</v>
      </c>
      <c r="BQ95" s="6">
        <v>0.53</v>
      </c>
      <c r="BR95" s="6">
        <f>(BN95-1)*0.4+BQ95</f>
        <v>0.39338865227877806</v>
      </c>
      <c r="BS95" s="2" t="s">
        <v>295</v>
      </c>
      <c r="BT95" s="52" t="s">
        <v>328</v>
      </c>
    </row>
    <row r="96" spans="1:72">
      <c r="A96" s="2">
        <v>81607</v>
      </c>
      <c r="B96" s="2" t="s">
        <v>323</v>
      </c>
      <c r="C96" s="2" t="s">
        <v>338</v>
      </c>
      <c r="D96" s="2" t="s">
        <v>467</v>
      </c>
      <c r="E96" s="2">
        <v>2817</v>
      </c>
      <c r="F96" s="5">
        <v>52.67</v>
      </c>
      <c r="G96" s="5">
        <v>0.39</v>
      </c>
      <c r="H96" s="5">
        <v>12.1</v>
      </c>
      <c r="I96" s="5">
        <v>9.7799999999999994</v>
      </c>
      <c r="J96" s="5">
        <v>0.18</v>
      </c>
      <c r="K96" s="5">
        <v>11.38</v>
      </c>
      <c r="L96" s="5">
        <v>8.5299999999999994</v>
      </c>
      <c r="M96" s="5">
        <v>0.27</v>
      </c>
      <c r="N96" s="5">
        <v>1.1200000000000001</v>
      </c>
      <c r="O96" s="5">
        <v>0.04</v>
      </c>
      <c r="P96" s="5"/>
      <c r="Q96" s="5">
        <f t="shared" si="8"/>
        <v>96.460000000000008</v>
      </c>
      <c r="R96" s="5">
        <f t="shared" si="9"/>
        <v>69.742551527148763</v>
      </c>
      <c r="S96" s="5">
        <f t="shared" si="10"/>
        <v>2337.4608739201199</v>
      </c>
      <c r="T96" s="5"/>
      <c r="U96" s="5"/>
      <c r="V96" s="5">
        <v>34</v>
      </c>
      <c r="W96" s="5">
        <v>183</v>
      </c>
      <c r="X96" s="5">
        <v>783</v>
      </c>
      <c r="Y96" s="5"/>
      <c r="Z96" s="5"/>
      <c r="AA96" s="5">
        <v>96.4</v>
      </c>
      <c r="AB96" s="5">
        <v>66</v>
      </c>
      <c r="AC96" s="5">
        <v>9.6999999999999993</v>
      </c>
      <c r="AD96" s="5">
        <v>9.8000000000000007</v>
      </c>
      <c r="AE96" s="5">
        <v>67.5</v>
      </c>
      <c r="AF96" s="5">
        <v>10.3</v>
      </c>
      <c r="AG96" s="5">
        <v>39</v>
      </c>
      <c r="AH96" s="5">
        <v>1.6</v>
      </c>
      <c r="AI96" s="5"/>
      <c r="AJ96" s="5"/>
      <c r="AK96" s="5">
        <v>57.7</v>
      </c>
      <c r="AL96" s="5">
        <v>5.2</v>
      </c>
      <c r="AM96" s="5">
        <v>12.3</v>
      </c>
      <c r="AN96" s="5">
        <v>1.2</v>
      </c>
      <c r="AO96" s="5">
        <v>4.7</v>
      </c>
      <c r="AP96" s="5">
        <v>1.5</v>
      </c>
      <c r="AQ96" s="5">
        <v>0.4</v>
      </c>
      <c r="AR96" s="5">
        <v>1.6</v>
      </c>
      <c r="AS96" s="5">
        <v>0.3</v>
      </c>
      <c r="AT96" s="5">
        <v>1.8</v>
      </c>
      <c r="AU96" s="5">
        <v>0.5</v>
      </c>
      <c r="AV96" s="5">
        <v>1.1000000000000001</v>
      </c>
      <c r="AW96" s="5">
        <v>0.2</v>
      </c>
      <c r="AX96" s="5">
        <v>1.2</v>
      </c>
      <c r="AY96" s="5">
        <v>0.2</v>
      </c>
      <c r="AZ96" s="5">
        <v>1.1000000000000001</v>
      </c>
      <c r="BA96" s="5">
        <v>0.1</v>
      </c>
      <c r="BB96" s="5"/>
      <c r="BC96" s="5"/>
      <c r="BD96" s="5">
        <v>1.8</v>
      </c>
      <c r="BE96" s="5">
        <v>0.2</v>
      </c>
      <c r="BF96" s="5">
        <v>3.2</v>
      </c>
      <c r="BG96" s="5">
        <v>32.200000000000003</v>
      </c>
      <c r="BH96" s="5">
        <v>0.29647211133887202</v>
      </c>
      <c r="BI96" s="5">
        <f t="shared" si="11"/>
        <v>48.889133333333334</v>
      </c>
      <c r="BJ96" s="5">
        <v>31.025641025641001</v>
      </c>
      <c r="BK96" s="5">
        <f>(AL96/0.237)/(AX96/0.17)</f>
        <v>3.1082981715893117</v>
      </c>
      <c r="BL96" s="5">
        <v>1.10300081103001</v>
      </c>
      <c r="BM96" s="98">
        <v>1229.6628569455099</v>
      </c>
      <c r="BN96" s="5">
        <v>0.61985849469251197</v>
      </c>
      <c r="BO96" s="6">
        <v>0.79799999999989102</v>
      </c>
      <c r="BP96" s="6">
        <f>(BN96-1)*0.4+BO96</f>
        <v>0.64594339787689581</v>
      </c>
      <c r="BQ96" s="6">
        <v>0.39</v>
      </c>
      <c r="BR96" s="6">
        <f>(BN96-1)*0.4+BQ96</f>
        <v>0.2379433978770048</v>
      </c>
      <c r="BS96" s="2" t="s">
        <v>295</v>
      </c>
      <c r="BT96" s="52" t="s">
        <v>328</v>
      </c>
    </row>
    <row r="97" spans="1:72">
      <c r="A97" s="2">
        <v>81669</v>
      </c>
      <c r="B97" s="2" t="s">
        <v>323</v>
      </c>
      <c r="C97" s="2" t="s">
        <v>337</v>
      </c>
      <c r="D97" s="2" t="s">
        <v>467</v>
      </c>
      <c r="E97" s="2">
        <v>2817</v>
      </c>
      <c r="F97" s="5">
        <v>51.5</v>
      </c>
      <c r="G97" s="5">
        <v>0.33</v>
      </c>
      <c r="H97" s="5">
        <v>13</v>
      </c>
      <c r="I97" s="5">
        <v>10.1</v>
      </c>
      <c r="J97" s="5">
        <v>0.2</v>
      </c>
      <c r="K97" s="5">
        <v>9.41</v>
      </c>
      <c r="L97" s="5">
        <v>8.93</v>
      </c>
      <c r="M97" s="5">
        <v>1.89</v>
      </c>
      <c r="N97" s="5">
        <v>0.5</v>
      </c>
      <c r="O97" s="5">
        <v>0.1</v>
      </c>
      <c r="P97" s="5"/>
      <c r="Q97" s="5">
        <f t="shared" si="8"/>
        <v>95.96</v>
      </c>
      <c r="R97" s="5">
        <f t="shared" si="9"/>
        <v>64.857648058578206</v>
      </c>
      <c r="S97" s="5">
        <f t="shared" si="10"/>
        <v>1977.8515087016401</v>
      </c>
      <c r="T97" s="5"/>
      <c r="U97" s="5"/>
      <c r="V97" s="5"/>
      <c r="W97" s="5">
        <v>217</v>
      </c>
      <c r="X97" s="5">
        <v>780</v>
      </c>
      <c r="Y97" s="5">
        <v>61</v>
      </c>
      <c r="Z97" s="5"/>
      <c r="AA97" s="5">
        <v>79</v>
      </c>
      <c r="AB97" s="5">
        <v>63</v>
      </c>
      <c r="AC97" s="5"/>
      <c r="AD97" s="5">
        <v>22</v>
      </c>
      <c r="AE97" s="5">
        <v>97</v>
      </c>
      <c r="AF97" s="5">
        <v>18</v>
      </c>
      <c r="AG97" s="5">
        <v>59</v>
      </c>
      <c r="AH97" s="5">
        <v>5</v>
      </c>
      <c r="AI97" s="5"/>
      <c r="AJ97" s="5"/>
      <c r="AK97" s="5">
        <v>123</v>
      </c>
      <c r="AL97" s="5">
        <v>7</v>
      </c>
      <c r="AM97" s="5">
        <v>5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>
        <v>5</v>
      </c>
      <c r="BE97" s="5"/>
      <c r="BF97" s="5"/>
      <c r="BG97" s="5">
        <v>12</v>
      </c>
      <c r="BH97" s="5">
        <v>0.68823882989380902</v>
      </c>
      <c r="BI97" s="5">
        <f t="shared" si="11"/>
        <v>45.439899999999994</v>
      </c>
      <c r="BJ97" s="5">
        <v>39.393939393939398</v>
      </c>
      <c r="BK97" s="5"/>
      <c r="BL97" s="5"/>
      <c r="BM97" s="98">
        <v>1272.41255004307</v>
      </c>
      <c r="BN97" s="5">
        <v>1.0012977446928999</v>
      </c>
      <c r="BO97" s="6"/>
      <c r="BP97" s="6"/>
      <c r="BQ97" s="6"/>
      <c r="BR97" s="6"/>
      <c r="BS97" s="2" t="s">
        <v>295</v>
      </c>
      <c r="BT97" s="52" t="s">
        <v>335</v>
      </c>
    </row>
    <row r="98" spans="1:72">
      <c r="A98" s="2">
        <v>83266</v>
      </c>
      <c r="B98" s="2" t="s">
        <v>323</v>
      </c>
      <c r="C98" s="2" t="s">
        <v>337</v>
      </c>
      <c r="D98" s="2" t="s">
        <v>467</v>
      </c>
      <c r="E98" s="2">
        <v>2817</v>
      </c>
      <c r="F98" s="5">
        <v>49.5</v>
      </c>
      <c r="G98" s="5">
        <v>0.28999999999999998</v>
      </c>
      <c r="H98" s="5">
        <v>15.1</v>
      </c>
      <c r="I98" s="5">
        <v>10.29</v>
      </c>
      <c r="J98" s="5">
        <v>0.16</v>
      </c>
      <c r="K98" s="5">
        <v>9.42</v>
      </c>
      <c r="L98" s="5">
        <v>12.03</v>
      </c>
      <c r="M98" s="5">
        <v>1.37</v>
      </c>
      <c r="N98" s="5">
        <v>0.05</v>
      </c>
      <c r="O98" s="5">
        <v>0.04</v>
      </c>
      <c r="P98" s="5"/>
      <c r="Q98" s="5">
        <f t="shared" si="8"/>
        <v>98.250000000000014</v>
      </c>
      <c r="R98" s="5">
        <f t="shared" si="9"/>
        <v>64.456031648955516</v>
      </c>
      <c r="S98" s="5">
        <f t="shared" si="10"/>
        <v>1738.11193188932</v>
      </c>
      <c r="T98" s="5"/>
      <c r="U98" s="5"/>
      <c r="V98" s="5"/>
      <c r="W98" s="5">
        <v>197</v>
      </c>
      <c r="X98" s="5">
        <v>333</v>
      </c>
      <c r="Y98" s="5">
        <v>101</v>
      </c>
      <c r="Z98" s="5"/>
      <c r="AA98" s="5">
        <v>11</v>
      </c>
      <c r="AB98" s="5">
        <v>64</v>
      </c>
      <c r="AC98" s="5"/>
      <c r="AD98" s="5">
        <v>5</v>
      </c>
      <c r="AE98" s="5">
        <v>106</v>
      </c>
      <c r="AF98" s="5">
        <v>24</v>
      </c>
      <c r="AG98" s="5">
        <v>9</v>
      </c>
      <c r="AH98" s="5">
        <v>5</v>
      </c>
      <c r="AI98" s="5"/>
      <c r="AJ98" s="5"/>
      <c r="AK98" s="5">
        <v>47</v>
      </c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>
        <v>10</v>
      </c>
      <c r="BE98" s="5"/>
      <c r="BF98" s="5"/>
      <c r="BG98" s="5"/>
      <c r="BH98" s="5"/>
      <c r="BI98" s="5">
        <f t="shared" si="11"/>
        <v>57.868387499999997</v>
      </c>
      <c r="BJ98" s="5">
        <v>52.068965517241402</v>
      </c>
      <c r="BK98" s="5"/>
      <c r="BL98" s="5"/>
      <c r="BM98" s="98">
        <v>1290.87777735998</v>
      </c>
      <c r="BN98" s="5">
        <v>1.22231772948317</v>
      </c>
      <c r="BO98" s="6"/>
      <c r="BP98" s="6"/>
      <c r="BQ98" s="6"/>
      <c r="BR98" s="6"/>
      <c r="BS98" s="2" t="s">
        <v>295</v>
      </c>
      <c r="BT98" s="52" t="s">
        <v>335</v>
      </c>
    </row>
    <row r="99" spans="1:72">
      <c r="A99" s="2">
        <v>83267</v>
      </c>
      <c r="B99" s="2" t="s">
        <v>323</v>
      </c>
      <c r="C99" s="2" t="s">
        <v>337</v>
      </c>
      <c r="D99" s="2" t="s">
        <v>467</v>
      </c>
      <c r="E99" s="2">
        <v>2817</v>
      </c>
      <c r="F99" s="5">
        <v>49.6</v>
      </c>
      <c r="G99" s="5">
        <v>0.17</v>
      </c>
      <c r="H99" s="5">
        <v>14.9</v>
      </c>
      <c r="I99" s="5">
        <v>9.27</v>
      </c>
      <c r="J99" s="5">
        <v>0.15</v>
      </c>
      <c r="K99" s="5">
        <v>11</v>
      </c>
      <c r="L99" s="5">
        <v>11.7</v>
      </c>
      <c r="M99" s="5">
        <v>1.23</v>
      </c>
      <c r="N99" s="5">
        <v>0.03</v>
      </c>
      <c r="O99" s="5">
        <v>0.04</v>
      </c>
      <c r="P99" s="5"/>
      <c r="Q99" s="5">
        <f t="shared" si="8"/>
        <v>98.090000000000018</v>
      </c>
      <c r="R99" s="5">
        <f t="shared" si="9"/>
        <v>70.154422795670726</v>
      </c>
      <c r="S99" s="5">
        <f t="shared" si="10"/>
        <v>1018.89320145236</v>
      </c>
      <c r="T99" s="5"/>
      <c r="U99" s="5"/>
      <c r="V99" s="5"/>
      <c r="W99" s="5">
        <v>172</v>
      </c>
      <c r="X99" s="5">
        <v>453</v>
      </c>
      <c r="Y99" s="5">
        <v>103</v>
      </c>
      <c r="Z99" s="5"/>
      <c r="AA99" s="5">
        <v>8</v>
      </c>
      <c r="AB99" s="5">
        <v>44</v>
      </c>
      <c r="AC99" s="5"/>
      <c r="AD99" s="5">
        <v>5</v>
      </c>
      <c r="AE99" s="5">
        <v>103</v>
      </c>
      <c r="AF99" s="5">
        <v>10</v>
      </c>
      <c r="AG99" s="5">
        <v>7</v>
      </c>
      <c r="AH99" s="5">
        <v>5</v>
      </c>
      <c r="AI99" s="5"/>
      <c r="AJ99" s="5"/>
      <c r="AK99" s="5">
        <v>30</v>
      </c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>
        <v>10</v>
      </c>
      <c r="BE99" s="5"/>
      <c r="BF99" s="5"/>
      <c r="BG99" s="5"/>
      <c r="BH99" s="5"/>
      <c r="BI99" s="5">
        <f t="shared" si="11"/>
        <v>55.607640000000004</v>
      </c>
      <c r="BJ99" s="5">
        <v>87.647058823529406</v>
      </c>
      <c r="BK99" s="5"/>
      <c r="BL99" s="5"/>
      <c r="BM99" s="98">
        <v>1251.9587933862199</v>
      </c>
      <c r="BN99" s="5">
        <v>0.98947954853051601</v>
      </c>
      <c r="BO99" s="6"/>
      <c r="BP99" s="6"/>
      <c r="BQ99" s="6"/>
      <c r="BR99" s="6"/>
      <c r="BS99" s="2" t="s">
        <v>295</v>
      </c>
      <c r="BT99" s="52" t="s">
        <v>335</v>
      </c>
    </row>
    <row r="100" spans="1:72">
      <c r="A100" s="2">
        <v>83268</v>
      </c>
      <c r="B100" s="2" t="s">
        <v>323</v>
      </c>
      <c r="C100" s="2" t="s">
        <v>337</v>
      </c>
      <c r="D100" s="2" t="s">
        <v>467</v>
      </c>
      <c r="E100" s="2">
        <v>2817</v>
      </c>
      <c r="F100" s="5">
        <v>49.7</v>
      </c>
      <c r="G100" s="5">
        <v>0.17</v>
      </c>
      <c r="H100" s="5">
        <v>14.8</v>
      </c>
      <c r="I100" s="5">
        <v>9.5399999999999991</v>
      </c>
      <c r="J100" s="5">
        <v>0.18</v>
      </c>
      <c r="K100" s="5">
        <v>11</v>
      </c>
      <c r="L100" s="5">
        <v>11.85</v>
      </c>
      <c r="M100" s="5">
        <v>1</v>
      </c>
      <c r="N100" s="5">
        <v>0.02</v>
      </c>
      <c r="O100" s="5">
        <v>0.04</v>
      </c>
      <c r="P100" s="5"/>
      <c r="Q100" s="5">
        <f t="shared" si="8"/>
        <v>98.300000000000011</v>
      </c>
      <c r="R100" s="5">
        <f t="shared" si="9"/>
        <v>69.549833978326518</v>
      </c>
      <c r="S100" s="5">
        <f t="shared" si="10"/>
        <v>1018.89320145236</v>
      </c>
      <c r="T100" s="5"/>
      <c r="U100" s="5"/>
      <c r="V100" s="5"/>
      <c r="W100" s="5">
        <v>177</v>
      </c>
      <c r="X100" s="5">
        <v>444</v>
      </c>
      <c r="Y100" s="5">
        <v>93</v>
      </c>
      <c r="Z100" s="5"/>
      <c r="AA100" s="5">
        <v>44</v>
      </c>
      <c r="AB100" s="5">
        <v>57</v>
      </c>
      <c r="AC100" s="5"/>
      <c r="AD100" s="5">
        <v>5</v>
      </c>
      <c r="AE100" s="5">
        <v>101</v>
      </c>
      <c r="AF100" s="5">
        <v>8</v>
      </c>
      <c r="AG100" s="5">
        <v>7</v>
      </c>
      <c r="AH100" s="5">
        <v>5</v>
      </c>
      <c r="AI100" s="5"/>
      <c r="AJ100" s="5"/>
      <c r="AK100" s="5">
        <v>30</v>
      </c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>
        <v>10</v>
      </c>
      <c r="BE100" s="5"/>
      <c r="BF100" s="5"/>
      <c r="BG100" s="5"/>
      <c r="BH100" s="5"/>
      <c r="BI100" s="5">
        <f t="shared" si="11"/>
        <v>47.689399999999999</v>
      </c>
      <c r="BJ100" s="5">
        <v>87.058823529411796</v>
      </c>
      <c r="BK100" s="5"/>
      <c r="BL100" s="5"/>
      <c r="BM100" s="98">
        <v>1259.6353906469401</v>
      </c>
      <c r="BN100" s="5">
        <v>0.99379063404772705</v>
      </c>
      <c r="BO100" s="6"/>
      <c r="BP100" s="6"/>
      <c r="BQ100" s="6"/>
      <c r="BR100" s="6"/>
      <c r="BS100" s="2" t="s">
        <v>295</v>
      </c>
      <c r="BT100" s="52" t="s">
        <v>335</v>
      </c>
    </row>
    <row r="101" spans="1:72">
      <c r="A101" s="2">
        <v>83268</v>
      </c>
      <c r="B101" s="2" t="s">
        <v>323</v>
      </c>
      <c r="C101" s="2" t="s">
        <v>337</v>
      </c>
      <c r="D101" s="2" t="s">
        <v>467</v>
      </c>
      <c r="E101" s="2">
        <v>2817</v>
      </c>
      <c r="F101" s="5">
        <v>50.36</v>
      </c>
      <c r="G101" s="5">
        <v>0.16</v>
      </c>
      <c r="H101" s="5">
        <v>15.01</v>
      </c>
      <c r="I101" s="5">
        <v>9.15</v>
      </c>
      <c r="J101" s="5">
        <v>0.17</v>
      </c>
      <c r="K101" s="5">
        <v>10.74</v>
      </c>
      <c r="L101" s="5">
        <v>12.09</v>
      </c>
      <c r="M101" s="5">
        <v>0.04</v>
      </c>
      <c r="N101" s="5">
        <v>0.97</v>
      </c>
      <c r="O101" s="5">
        <v>6.0000000000000001E-3</v>
      </c>
      <c r="P101" s="5"/>
      <c r="Q101" s="5">
        <f t="shared" si="8"/>
        <v>98.696000000000012</v>
      </c>
      <c r="R101" s="5">
        <f t="shared" si="9"/>
        <v>69.925894397988301</v>
      </c>
      <c r="S101" s="5">
        <f t="shared" si="10"/>
        <v>958.95830724927998</v>
      </c>
      <c r="T101" s="5"/>
      <c r="U101" s="5"/>
      <c r="V101" s="5">
        <v>37</v>
      </c>
      <c r="W101" s="5">
        <v>181</v>
      </c>
      <c r="X101" s="5">
        <v>525</v>
      </c>
      <c r="Y101" s="5"/>
      <c r="Z101" s="5"/>
      <c r="AA101" s="5">
        <v>40.9</v>
      </c>
      <c r="AB101" s="5">
        <v>50</v>
      </c>
      <c r="AC101" s="5">
        <v>15.3</v>
      </c>
      <c r="AD101" s="5">
        <v>1.2</v>
      </c>
      <c r="AE101" s="5">
        <v>102.3</v>
      </c>
      <c r="AF101" s="5">
        <v>5.5</v>
      </c>
      <c r="AG101" s="5">
        <v>20</v>
      </c>
      <c r="AH101" s="5">
        <v>0.2</v>
      </c>
      <c r="AI101" s="5"/>
      <c r="AJ101" s="5"/>
      <c r="AK101" s="5">
        <v>21.7</v>
      </c>
      <c r="AL101" s="5">
        <v>1.1000000000000001</v>
      </c>
      <c r="AM101" s="5">
        <v>2.1</v>
      </c>
      <c r="AN101" s="5">
        <v>0.4</v>
      </c>
      <c r="AO101" s="5">
        <v>1.4</v>
      </c>
      <c r="AP101" s="5">
        <v>0.5</v>
      </c>
      <c r="AQ101" s="5">
        <v>0.3</v>
      </c>
      <c r="AR101" s="5">
        <v>0.8</v>
      </c>
      <c r="AS101" s="5">
        <v>0.1</v>
      </c>
      <c r="AT101" s="5">
        <v>0.8</v>
      </c>
      <c r="AU101" s="5">
        <v>0.3</v>
      </c>
      <c r="AV101" s="5">
        <v>0.6</v>
      </c>
      <c r="AW101" s="5">
        <v>0.1</v>
      </c>
      <c r="AX101" s="5">
        <v>0.8</v>
      </c>
      <c r="AY101" s="5">
        <v>0.1</v>
      </c>
      <c r="AZ101" s="5">
        <v>0.6</v>
      </c>
      <c r="BA101" s="5">
        <v>0.1</v>
      </c>
      <c r="BB101" s="5"/>
      <c r="BC101" s="5"/>
      <c r="BD101" s="5">
        <v>0.2</v>
      </c>
      <c r="BE101" s="5"/>
      <c r="BF101" s="5">
        <v>1.9</v>
      </c>
      <c r="BG101" s="5">
        <v>9.4</v>
      </c>
      <c r="BH101" s="5">
        <v>0.17518806579115101</v>
      </c>
      <c r="BI101" s="5">
        <f t="shared" si="11"/>
        <v>48.430411764705887</v>
      </c>
      <c r="BJ101" s="5">
        <v>93.8125</v>
      </c>
      <c r="BK101" s="5">
        <f>(AL101/0.237)/(AX101/0.17)</f>
        <v>0.98628691983122363</v>
      </c>
      <c r="BL101" s="5">
        <v>0.82725060827250596</v>
      </c>
      <c r="BM101" s="98">
        <v>1259.6353906469401</v>
      </c>
      <c r="BN101" s="5">
        <v>0.99379063404772705</v>
      </c>
      <c r="BO101" s="6"/>
      <c r="BP101" s="6"/>
      <c r="BQ101" s="6"/>
      <c r="BR101" s="6"/>
      <c r="BS101" s="2" t="s">
        <v>295</v>
      </c>
      <c r="BT101" s="52" t="s">
        <v>328</v>
      </c>
    </row>
    <row r="102" spans="1:72">
      <c r="A102" s="2" t="s">
        <v>336</v>
      </c>
      <c r="B102" s="2" t="s">
        <v>323</v>
      </c>
      <c r="C102" s="2" t="s">
        <v>337</v>
      </c>
      <c r="D102" s="2" t="s">
        <v>467</v>
      </c>
      <c r="E102" s="2">
        <v>2817</v>
      </c>
      <c r="F102" s="5">
        <v>50.2</v>
      </c>
      <c r="G102" s="5">
        <v>0.3</v>
      </c>
      <c r="H102" s="5">
        <v>13.5</v>
      </c>
      <c r="I102" s="5">
        <v>9.32</v>
      </c>
      <c r="J102" s="5">
        <v>0.2</v>
      </c>
      <c r="K102" s="5">
        <v>11</v>
      </c>
      <c r="L102" s="5">
        <v>8.76</v>
      </c>
      <c r="M102" s="5">
        <v>2.2000000000000002</v>
      </c>
      <c r="N102" s="5">
        <v>7.0000000000000007E-2</v>
      </c>
      <c r="O102" s="5">
        <v>0.06</v>
      </c>
      <c r="P102" s="5"/>
      <c r="Q102" s="5">
        <f t="shared" si="8"/>
        <v>95.61</v>
      </c>
      <c r="R102" s="5">
        <f t="shared" si="9"/>
        <v>70.041670148748139</v>
      </c>
      <c r="S102" s="5">
        <f t="shared" si="10"/>
        <v>1798.0468260924001</v>
      </c>
      <c r="T102" s="5"/>
      <c r="U102" s="5"/>
      <c r="V102" s="5"/>
      <c r="W102" s="5">
        <v>196</v>
      </c>
      <c r="X102" s="5">
        <v>1040</v>
      </c>
      <c r="Y102" s="5">
        <v>69</v>
      </c>
      <c r="Z102" s="5"/>
      <c r="AA102" s="5">
        <v>184</v>
      </c>
      <c r="AB102" s="5">
        <v>67</v>
      </c>
      <c r="AC102" s="5"/>
      <c r="AD102" s="5"/>
      <c r="AE102" s="5">
        <v>119</v>
      </c>
      <c r="AF102" s="5">
        <v>18</v>
      </c>
      <c r="AG102" s="5">
        <v>21</v>
      </c>
      <c r="AH102" s="5"/>
      <c r="AI102" s="5"/>
      <c r="AJ102" s="5"/>
      <c r="AK102" s="5">
        <v>114</v>
      </c>
      <c r="AL102" s="5">
        <v>5</v>
      </c>
      <c r="AM102" s="5">
        <v>5</v>
      </c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>
        <v>10</v>
      </c>
      <c r="BH102" s="5"/>
      <c r="BI102" s="5">
        <f t="shared" si="11"/>
        <v>41.930680000000002</v>
      </c>
      <c r="BJ102" s="5">
        <v>45</v>
      </c>
      <c r="BK102" s="5"/>
      <c r="BL102" s="5"/>
      <c r="BM102" s="98">
        <v>1250.44250269448</v>
      </c>
      <c r="BN102" s="5">
        <v>0.98508912242594104</v>
      </c>
      <c r="BO102" s="6"/>
      <c r="BP102" s="6"/>
      <c r="BQ102" s="6"/>
      <c r="BR102" s="6"/>
      <c r="BS102" s="2" t="s">
        <v>295</v>
      </c>
      <c r="BT102" s="52" t="s">
        <v>335</v>
      </c>
    </row>
    <row r="103" spans="1:72">
      <c r="A103" s="2">
        <v>81365</v>
      </c>
      <c r="B103" s="2" t="s">
        <v>323</v>
      </c>
      <c r="C103" s="2" t="s">
        <v>337</v>
      </c>
      <c r="D103" s="2" t="s">
        <v>467</v>
      </c>
      <c r="E103" s="2">
        <v>2805</v>
      </c>
      <c r="F103" s="5">
        <v>49.8</v>
      </c>
      <c r="G103" s="5">
        <v>0.43</v>
      </c>
      <c r="H103" s="5">
        <v>11.7</v>
      </c>
      <c r="I103" s="5">
        <v>10.3</v>
      </c>
      <c r="J103" s="5">
        <v>0.17</v>
      </c>
      <c r="K103" s="5">
        <v>12.2</v>
      </c>
      <c r="L103" s="5">
        <v>9.58</v>
      </c>
      <c r="M103" s="5">
        <v>0.99</v>
      </c>
      <c r="N103" s="5">
        <v>7.0000000000000007E-2</v>
      </c>
      <c r="O103" s="5">
        <v>0.16</v>
      </c>
      <c r="P103" s="5"/>
      <c r="Q103" s="5">
        <f t="shared" si="8"/>
        <v>95.399999999999977</v>
      </c>
      <c r="R103" s="5">
        <f t="shared" si="9"/>
        <v>70.116305098091715</v>
      </c>
      <c r="S103" s="5">
        <f t="shared" si="10"/>
        <v>2577.20045073244</v>
      </c>
      <c r="T103" s="5"/>
      <c r="U103" s="5"/>
      <c r="V103" s="5"/>
      <c r="W103" s="5">
        <v>211</v>
      </c>
      <c r="X103" s="5">
        <v>880</v>
      </c>
      <c r="Y103" s="5"/>
      <c r="Z103" s="5"/>
      <c r="AA103" s="5">
        <v>67</v>
      </c>
      <c r="AB103" s="5">
        <v>77</v>
      </c>
      <c r="AC103" s="5"/>
      <c r="AD103" s="5">
        <v>2</v>
      </c>
      <c r="AE103" s="5">
        <v>76</v>
      </c>
      <c r="AF103" s="5">
        <v>14</v>
      </c>
      <c r="AG103" s="5">
        <v>24</v>
      </c>
      <c r="AH103" s="5">
        <v>5</v>
      </c>
      <c r="AI103" s="5"/>
      <c r="AJ103" s="5"/>
      <c r="AK103" s="5">
        <v>50</v>
      </c>
      <c r="AL103" s="5">
        <v>6</v>
      </c>
      <c r="AM103" s="5">
        <v>5</v>
      </c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>
        <v>10</v>
      </c>
      <c r="BE103" s="5"/>
      <c r="BF103" s="5"/>
      <c r="BG103" s="5">
        <v>11</v>
      </c>
      <c r="BH103" s="5">
        <v>0.80294530154277699</v>
      </c>
      <c r="BI103" s="5">
        <f t="shared" si="11"/>
        <v>54.517294117647062</v>
      </c>
      <c r="BJ103" s="5">
        <v>27.209302325581401</v>
      </c>
      <c r="BK103" s="5"/>
      <c r="BL103" s="5"/>
      <c r="BM103" s="98">
        <v>1281.7361967239301</v>
      </c>
      <c r="BN103" s="5">
        <v>0.98681410734176001</v>
      </c>
      <c r="BO103" s="6">
        <v>0.56899999999989104</v>
      </c>
      <c r="BP103" s="6">
        <f>(BN103-1)*0.4+BO103</f>
        <v>0.563725642936595</v>
      </c>
      <c r="BQ103" s="6"/>
      <c r="BR103" s="6"/>
      <c r="BS103" s="2" t="s">
        <v>295</v>
      </c>
      <c r="BT103" s="52" t="s">
        <v>335</v>
      </c>
    </row>
    <row r="104" spans="1:72">
      <c r="A104" s="2" t="s">
        <v>342</v>
      </c>
      <c r="B104" s="2" t="s">
        <v>323</v>
      </c>
      <c r="C104" s="2" t="s">
        <v>338</v>
      </c>
      <c r="D104" s="2" t="s">
        <v>467</v>
      </c>
      <c r="E104" s="2">
        <v>2805</v>
      </c>
      <c r="F104" s="5">
        <v>55.722288915566203</v>
      </c>
      <c r="G104" s="5">
        <v>0.27010804321728699</v>
      </c>
      <c r="H104" s="5">
        <v>15.606242496998799</v>
      </c>
      <c r="I104" s="5">
        <v>9.0536214485794293</v>
      </c>
      <c r="J104" s="5">
        <v>0.16006402561024399</v>
      </c>
      <c r="K104" s="5">
        <v>8.3633453381352503</v>
      </c>
      <c r="L104" s="5">
        <v>8.84353741496599</v>
      </c>
      <c r="M104" s="5">
        <v>1.85074029611845</v>
      </c>
      <c r="N104" s="5">
        <v>6.0024009603841501E-2</v>
      </c>
      <c r="O104" s="5">
        <v>7.0028011204481794E-2</v>
      </c>
      <c r="P104" s="5"/>
      <c r="Q104" s="5">
        <f t="shared" si="8"/>
        <v>99.999999999999972</v>
      </c>
      <c r="R104" s="5">
        <f t="shared" si="9"/>
        <v>64.662665768393808</v>
      </c>
      <c r="S104" s="5">
        <f t="shared" si="10"/>
        <v>1618.8896993629055</v>
      </c>
      <c r="T104" s="5"/>
      <c r="U104" s="5"/>
      <c r="V104" s="5">
        <v>33.102177387135399</v>
      </c>
      <c r="W104" s="5">
        <v>186.57590890930899</v>
      </c>
      <c r="X104" s="5">
        <v>782.41510187774702</v>
      </c>
      <c r="Y104" s="5">
        <v>49.151717938473801</v>
      </c>
      <c r="Z104" s="5"/>
      <c r="AA104" s="5">
        <v>4.0123851378345998</v>
      </c>
      <c r="AB104" s="5">
        <v>62.191969636436298</v>
      </c>
      <c r="AC104" s="5"/>
      <c r="AD104" s="5">
        <v>1.3040251697962399</v>
      </c>
      <c r="AE104" s="5">
        <v>293.90721134638397</v>
      </c>
      <c r="AF104" s="5">
        <v>10.2315821014782</v>
      </c>
      <c r="AG104" s="5">
        <v>32.099081102676799</v>
      </c>
      <c r="AH104" s="5">
        <v>1.6049540551338399</v>
      </c>
      <c r="AI104" s="5"/>
      <c r="AJ104" s="5"/>
      <c r="AK104" s="5">
        <v>255.78955253695599</v>
      </c>
      <c r="AL104" s="5">
        <v>8.4260087894526592</v>
      </c>
      <c r="AM104" s="5">
        <v>21.165331602077501</v>
      </c>
      <c r="AN104" s="5">
        <v>2.7685457451058699</v>
      </c>
      <c r="AO104" s="5">
        <v>12.5387035557331</v>
      </c>
      <c r="AP104" s="5">
        <v>2.5679264882141402</v>
      </c>
      <c r="AQ104" s="5">
        <v>0.74229125049940103</v>
      </c>
      <c r="AR104" s="5">
        <v>2.0964712345185799</v>
      </c>
      <c r="AS104" s="5">
        <v>0.26080503395924898</v>
      </c>
      <c r="AT104" s="5">
        <v>1.4845825009988001</v>
      </c>
      <c r="AU104" s="5">
        <v>0.32099081102676802</v>
      </c>
      <c r="AV104" s="5">
        <v>1.07331302437076</v>
      </c>
      <c r="AW104" s="5">
        <v>0.15046444266879699</v>
      </c>
      <c r="AX104" s="5">
        <v>1.07331302437076</v>
      </c>
      <c r="AY104" s="5">
        <v>0.20061925689172999</v>
      </c>
      <c r="AZ104" s="5">
        <v>1.00309628445865</v>
      </c>
      <c r="BA104" s="5">
        <v>0.100309628445865</v>
      </c>
      <c r="BB104" s="5"/>
      <c r="BC104" s="5"/>
      <c r="BD104" s="5">
        <v>5.9182680783060304</v>
      </c>
      <c r="BE104" s="5">
        <v>0.49151717938473799</v>
      </c>
      <c r="BF104" s="5">
        <v>2.8187005593288101</v>
      </c>
      <c r="BG104" s="5">
        <v>54.869366759888102</v>
      </c>
      <c r="BH104" s="5">
        <v>0.18353035463834899</v>
      </c>
      <c r="BI104" s="5">
        <f t="shared" si="11"/>
        <v>50.894937500000026</v>
      </c>
      <c r="BJ104" s="5">
        <v>57.7777777777778</v>
      </c>
      <c r="BK104" s="5">
        <f>(AL104/0.237)/(AX104/0.17)</f>
        <v>5.631136874482408</v>
      </c>
      <c r="BL104" s="5">
        <v>1.61584464606498</v>
      </c>
      <c r="BM104" s="98">
        <v>1223.1961786806301</v>
      </c>
      <c r="BN104" s="5">
        <v>0.59872982460698299</v>
      </c>
      <c r="BO104" s="6"/>
      <c r="BP104" s="6"/>
      <c r="BQ104" s="6">
        <v>0.41</v>
      </c>
      <c r="BR104" s="6">
        <f>(BN104-1)*0.4+BQ104</f>
        <v>0.24949192984279317</v>
      </c>
      <c r="BS104" s="2" t="s">
        <v>295</v>
      </c>
      <c r="BT104" s="52" t="s">
        <v>341</v>
      </c>
    </row>
    <row r="105" spans="1:72">
      <c r="A105" s="2">
        <v>81334</v>
      </c>
      <c r="B105" s="2" t="s">
        <v>323</v>
      </c>
      <c r="C105" s="2" t="s">
        <v>337</v>
      </c>
      <c r="D105" s="2" t="s">
        <v>467</v>
      </c>
      <c r="E105" s="2">
        <v>2800</v>
      </c>
      <c r="F105" s="5">
        <v>52.4</v>
      </c>
      <c r="G105" s="5">
        <v>0.46</v>
      </c>
      <c r="H105" s="5">
        <v>12.5</v>
      </c>
      <c r="I105" s="5">
        <v>8.75</v>
      </c>
      <c r="J105" s="5">
        <v>0.15</v>
      </c>
      <c r="K105" s="5">
        <v>10.6</v>
      </c>
      <c r="L105" s="5">
        <v>8.7200000000000006</v>
      </c>
      <c r="M105" s="5">
        <v>1.72</v>
      </c>
      <c r="N105" s="5">
        <v>0.22</v>
      </c>
      <c r="O105" s="5">
        <v>0.18</v>
      </c>
      <c r="P105" s="5"/>
      <c r="Q105" s="5">
        <f t="shared" si="8"/>
        <v>95.7</v>
      </c>
      <c r="R105" s="5">
        <f t="shared" si="9"/>
        <v>70.585782520134515</v>
      </c>
      <c r="S105" s="5">
        <f t="shared" si="10"/>
        <v>2757.00513334168</v>
      </c>
      <c r="T105" s="5"/>
      <c r="U105" s="5"/>
      <c r="V105" s="5"/>
      <c r="W105" s="5">
        <v>249</v>
      </c>
      <c r="X105" s="5">
        <v>773</v>
      </c>
      <c r="Y105" s="5"/>
      <c r="Z105" s="5"/>
      <c r="AA105" s="5">
        <v>14</v>
      </c>
      <c r="AB105" s="5">
        <v>93</v>
      </c>
      <c r="AC105" s="5"/>
      <c r="AD105" s="5">
        <v>10</v>
      </c>
      <c r="AE105" s="5">
        <v>53</v>
      </c>
      <c r="AF105" s="5">
        <v>16</v>
      </c>
      <c r="AG105" s="5">
        <v>35</v>
      </c>
      <c r="AH105" s="5">
        <v>5</v>
      </c>
      <c r="AI105" s="5"/>
      <c r="AJ105" s="5"/>
      <c r="AK105" s="5">
        <v>131</v>
      </c>
      <c r="AL105" s="5">
        <v>8</v>
      </c>
      <c r="AM105" s="5">
        <v>5</v>
      </c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>
        <v>10</v>
      </c>
      <c r="BE105" s="5"/>
      <c r="BF105" s="5"/>
      <c r="BG105" s="5">
        <v>13</v>
      </c>
      <c r="BH105" s="5">
        <v>0.60220897615708302</v>
      </c>
      <c r="BI105" s="5">
        <f t="shared" si="11"/>
        <v>52.488333333333337</v>
      </c>
      <c r="BJ105" s="5">
        <v>27.173913043478301</v>
      </c>
      <c r="BK105" s="5"/>
      <c r="BL105" s="5"/>
      <c r="BM105" s="98">
        <v>1220.24824055149</v>
      </c>
      <c r="BN105" s="5">
        <v>0.64745753279552598</v>
      </c>
      <c r="BO105" s="6">
        <v>1.7639999999998099</v>
      </c>
      <c r="BP105" s="6">
        <f t="shared" ref="BP105:BP120" si="13">(BN105-1)*0.4+BO105</f>
        <v>1.6229830131180203</v>
      </c>
      <c r="BQ105" s="6"/>
      <c r="BR105" s="6"/>
      <c r="BS105" s="2" t="s">
        <v>295</v>
      </c>
      <c r="BT105" s="52" t="s">
        <v>335</v>
      </c>
    </row>
    <row r="106" spans="1:72">
      <c r="A106" s="2">
        <v>81449</v>
      </c>
      <c r="B106" s="2" t="s">
        <v>323</v>
      </c>
      <c r="C106" s="2" t="s">
        <v>331</v>
      </c>
      <c r="D106" s="2" t="s">
        <v>429</v>
      </c>
      <c r="E106" s="2">
        <v>2800</v>
      </c>
      <c r="F106" s="5">
        <v>50.5</v>
      </c>
      <c r="G106" s="5">
        <v>0.44</v>
      </c>
      <c r="H106" s="5">
        <v>10.85</v>
      </c>
      <c r="I106" s="5">
        <v>9.5</v>
      </c>
      <c r="J106" s="5">
        <v>0.18</v>
      </c>
      <c r="K106" s="5">
        <v>14.85</v>
      </c>
      <c r="L106" s="5">
        <v>9.27</v>
      </c>
      <c r="M106" s="5">
        <v>1.22</v>
      </c>
      <c r="N106" s="5">
        <v>0.09</v>
      </c>
      <c r="O106" s="5">
        <v>0.03</v>
      </c>
      <c r="P106" s="5">
        <v>2.88</v>
      </c>
      <c r="Q106" s="5">
        <f t="shared" si="8"/>
        <v>96.929999999999993</v>
      </c>
      <c r="R106" s="5">
        <f t="shared" si="9"/>
        <v>75.588657613623866</v>
      </c>
      <c r="S106" s="5">
        <f t="shared" si="10"/>
        <v>2637.1353449355202</v>
      </c>
      <c r="T106" s="5"/>
      <c r="U106" s="5"/>
      <c r="V106" s="5"/>
      <c r="W106" s="5">
        <v>234</v>
      </c>
      <c r="X106" s="5">
        <v>1410</v>
      </c>
      <c r="Y106" s="5">
        <v>51</v>
      </c>
      <c r="Z106" s="5">
        <v>386</v>
      </c>
      <c r="AA106" s="5"/>
      <c r="AB106" s="5"/>
      <c r="AC106" s="5"/>
      <c r="AD106" s="5">
        <v>3.2</v>
      </c>
      <c r="AE106" s="5">
        <v>65.900000000000006</v>
      </c>
      <c r="AF106" s="5">
        <v>13.5</v>
      </c>
      <c r="AG106" s="5">
        <v>31</v>
      </c>
      <c r="AH106" s="5">
        <v>0.9</v>
      </c>
      <c r="AI106" s="5"/>
      <c r="AJ106" s="5">
        <v>0.11</v>
      </c>
      <c r="AK106" s="5">
        <v>62.1</v>
      </c>
      <c r="AL106" s="5">
        <v>2.2000000000000002</v>
      </c>
      <c r="AM106" s="5">
        <v>4.4000000000000004</v>
      </c>
      <c r="AN106" s="5">
        <v>0.61</v>
      </c>
      <c r="AO106" s="5">
        <v>2.8</v>
      </c>
      <c r="AP106" s="5"/>
      <c r="AQ106" s="5">
        <v>0.39</v>
      </c>
      <c r="AR106" s="5">
        <v>1.65</v>
      </c>
      <c r="AS106" s="5">
        <v>0.3</v>
      </c>
      <c r="AT106" s="5">
        <v>2.23</v>
      </c>
      <c r="AU106" s="5">
        <v>0.53</v>
      </c>
      <c r="AV106" s="5">
        <v>1.46</v>
      </c>
      <c r="AW106" s="5">
        <v>0.23</v>
      </c>
      <c r="AX106" s="5">
        <v>1.54</v>
      </c>
      <c r="AY106" s="5">
        <v>0.24</v>
      </c>
      <c r="AZ106" s="5">
        <v>0.9</v>
      </c>
      <c r="BA106" s="5"/>
      <c r="BB106" s="5"/>
      <c r="BC106" s="5"/>
      <c r="BD106" s="5">
        <v>0.56999999999999995</v>
      </c>
      <c r="BE106" s="5"/>
      <c r="BF106" s="5">
        <v>4</v>
      </c>
      <c r="BG106" s="5">
        <v>18.579999999999998</v>
      </c>
      <c r="BH106" s="5">
        <v>0.39417314803009101</v>
      </c>
      <c r="BI106" s="5">
        <f t="shared" si="11"/>
        <v>47.489444444444445</v>
      </c>
      <c r="BJ106" s="5">
        <v>24.659090909090899</v>
      </c>
      <c r="BK106" s="5">
        <f>(AL106/0.237)/(AX106/0.17)</f>
        <v>1.0247136829415311</v>
      </c>
      <c r="BL106" s="5">
        <v>0.88633993743482797</v>
      </c>
      <c r="BM106" s="98">
        <v>1249.2088826674201</v>
      </c>
      <c r="BN106" s="5">
        <v>0.85685531241663104</v>
      </c>
      <c r="BO106" s="6">
        <v>1.26099999999986</v>
      </c>
      <c r="BP106" s="6">
        <f t="shared" si="13"/>
        <v>1.2037421249665123</v>
      </c>
      <c r="BQ106" s="6"/>
      <c r="BR106" s="6"/>
      <c r="BS106" s="2" t="s">
        <v>295</v>
      </c>
      <c r="BT106" s="52" t="s">
        <v>332</v>
      </c>
    </row>
    <row r="107" spans="1:72">
      <c r="A107" s="2">
        <v>81516</v>
      </c>
      <c r="B107" s="2" t="s">
        <v>323</v>
      </c>
      <c r="C107" s="2" t="s">
        <v>331</v>
      </c>
      <c r="D107" s="2" t="s">
        <v>429</v>
      </c>
      <c r="E107" s="2">
        <v>2800</v>
      </c>
      <c r="F107" s="5">
        <v>51.58</v>
      </c>
      <c r="G107" s="5">
        <v>0.46</v>
      </c>
      <c r="H107" s="5">
        <v>12.63</v>
      </c>
      <c r="I107" s="5">
        <v>10.01</v>
      </c>
      <c r="J107" s="5">
        <v>0.16</v>
      </c>
      <c r="K107" s="5">
        <v>11.14</v>
      </c>
      <c r="L107" s="5">
        <v>8.65</v>
      </c>
      <c r="M107" s="5">
        <v>1.5</v>
      </c>
      <c r="N107" s="5">
        <v>0.42</v>
      </c>
      <c r="O107" s="5">
        <v>4.8000000000000001E-2</v>
      </c>
      <c r="P107" s="5">
        <v>3.03</v>
      </c>
      <c r="Q107" s="5">
        <f t="shared" si="8"/>
        <v>96.598000000000013</v>
      </c>
      <c r="R107" s="5">
        <f t="shared" si="9"/>
        <v>68.794038446531985</v>
      </c>
      <c r="S107" s="5">
        <f t="shared" si="10"/>
        <v>2757.00513334168</v>
      </c>
      <c r="T107" s="5"/>
      <c r="U107" s="5"/>
      <c r="V107" s="5"/>
      <c r="W107" s="5">
        <v>249</v>
      </c>
      <c r="X107" s="5">
        <v>383</v>
      </c>
      <c r="Y107" s="5">
        <v>52</v>
      </c>
      <c r="Z107" s="5">
        <v>172</v>
      </c>
      <c r="AA107" s="5"/>
      <c r="AB107" s="5"/>
      <c r="AC107" s="5"/>
      <c r="AD107" s="5">
        <v>17.7</v>
      </c>
      <c r="AE107" s="5">
        <v>44</v>
      </c>
      <c r="AF107" s="5">
        <v>14.6</v>
      </c>
      <c r="AG107" s="5">
        <v>38</v>
      </c>
      <c r="AH107" s="5">
        <v>1.1000000000000001</v>
      </c>
      <c r="AI107" s="5"/>
      <c r="AJ107" s="5"/>
      <c r="AK107" s="5">
        <v>55.6</v>
      </c>
      <c r="AL107" s="5">
        <v>2.7</v>
      </c>
      <c r="AM107" s="5">
        <v>5.7</v>
      </c>
      <c r="AN107" s="5">
        <v>0.7</v>
      </c>
      <c r="AO107" s="5">
        <v>3.3</v>
      </c>
      <c r="AP107" s="5"/>
      <c r="AQ107" s="5">
        <v>0.5</v>
      </c>
      <c r="AR107" s="5">
        <v>2</v>
      </c>
      <c r="AS107" s="5">
        <v>0.4</v>
      </c>
      <c r="AT107" s="5">
        <v>2.5</v>
      </c>
      <c r="AU107" s="5">
        <v>0.6</v>
      </c>
      <c r="AV107" s="5">
        <v>1.7</v>
      </c>
      <c r="AW107" s="5">
        <v>0.3</v>
      </c>
      <c r="AX107" s="5">
        <v>1.7</v>
      </c>
      <c r="AY107" s="5">
        <v>0.3</v>
      </c>
      <c r="AZ107" s="5">
        <v>1</v>
      </c>
      <c r="BA107" s="5"/>
      <c r="BB107" s="5"/>
      <c r="BC107" s="5"/>
      <c r="BD107" s="5">
        <v>0.7</v>
      </c>
      <c r="BE107" s="5"/>
      <c r="BF107" s="5">
        <v>4.5999999999999996</v>
      </c>
      <c r="BG107" s="5">
        <v>22.4</v>
      </c>
      <c r="BH107" s="5">
        <v>0.39255103630980198</v>
      </c>
      <c r="BI107" s="5">
        <f t="shared" si="11"/>
        <v>56.293737499999992</v>
      </c>
      <c r="BJ107" s="5">
        <v>27.456521739130402</v>
      </c>
      <c r="BK107" s="5">
        <f>(AL107/0.237)/(AX107/0.17)</f>
        <v>1.1392405063291144</v>
      </c>
      <c r="BL107" s="5">
        <v>0.97323600973236002</v>
      </c>
      <c r="BM107" s="98">
        <v>1246.6682297196701</v>
      </c>
      <c r="BN107" s="5">
        <v>0.82648133573302396</v>
      </c>
      <c r="BO107" s="6">
        <v>1.4619999999998401</v>
      </c>
      <c r="BP107" s="6">
        <f t="shared" si="13"/>
        <v>1.3925925342930496</v>
      </c>
      <c r="BQ107" s="6"/>
      <c r="BR107" s="6"/>
      <c r="BS107" s="2" t="s">
        <v>295</v>
      </c>
      <c r="BT107" s="52" t="s">
        <v>332</v>
      </c>
    </row>
    <row r="108" spans="1:72">
      <c r="A108" s="2">
        <v>81519</v>
      </c>
      <c r="B108" s="2" t="s">
        <v>323</v>
      </c>
      <c r="C108" s="2" t="s">
        <v>331</v>
      </c>
      <c r="D108" s="2" t="s">
        <v>429</v>
      </c>
      <c r="E108" s="2">
        <v>2800</v>
      </c>
      <c r="F108" s="5">
        <v>50.97</v>
      </c>
      <c r="G108" s="5">
        <v>0.44</v>
      </c>
      <c r="H108" s="5">
        <v>10.99</v>
      </c>
      <c r="I108" s="5">
        <v>10.19</v>
      </c>
      <c r="J108" s="5">
        <v>0.15</v>
      </c>
      <c r="K108" s="5">
        <v>14.37</v>
      </c>
      <c r="L108" s="5">
        <v>8.48</v>
      </c>
      <c r="M108" s="5">
        <v>1.08</v>
      </c>
      <c r="N108" s="5">
        <v>0.24</v>
      </c>
      <c r="O108" s="5">
        <v>4.4999999999999998E-2</v>
      </c>
      <c r="P108" s="5">
        <v>2.38</v>
      </c>
      <c r="Q108" s="5">
        <f t="shared" si="8"/>
        <v>96.955000000000013</v>
      </c>
      <c r="R108" s="5">
        <f t="shared" si="9"/>
        <v>73.6389421304048</v>
      </c>
      <c r="S108" s="5">
        <f t="shared" si="10"/>
        <v>2637.1353449355202</v>
      </c>
      <c r="T108" s="5"/>
      <c r="U108" s="5"/>
      <c r="V108" s="5"/>
      <c r="W108" s="5">
        <v>225</v>
      </c>
      <c r="X108" s="5">
        <v>1295</v>
      </c>
      <c r="Y108" s="5">
        <v>57</v>
      </c>
      <c r="Z108" s="5">
        <v>334</v>
      </c>
      <c r="AA108" s="5"/>
      <c r="AB108" s="5"/>
      <c r="AC108" s="5"/>
      <c r="AD108" s="5">
        <v>14.4</v>
      </c>
      <c r="AE108" s="5">
        <v>40</v>
      </c>
      <c r="AF108" s="5">
        <v>13.6</v>
      </c>
      <c r="AG108" s="5">
        <v>33</v>
      </c>
      <c r="AH108" s="5">
        <v>1.1000000000000001</v>
      </c>
      <c r="AI108" s="5"/>
      <c r="AJ108" s="5"/>
      <c r="AK108" s="5">
        <v>24.1</v>
      </c>
      <c r="AL108" s="5">
        <v>2.2999999999999998</v>
      </c>
      <c r="AM108" s="5">
        <v>4.9000000000000004</v>
      </c>
      <c r="AN108" s="5">
        <v>0.6</v>
      </c>
      <c r="AO108" s="5">
        <v>2.7</v>
      </c>
      <c r="AP108" s="5"/>
      <c r="AQ108" s="5">
        <v>0.4</v>
      </c>
      <c r="AR108" s="5">
        <v>1.9</v>
      </c>
      <c r="AS108" s="5">
        <v>0.3</v>
      </c>
      <c r="AT108" s="5">
        <v>2.2999999999999998</v>
      </c>
      <c r="AU108" s="5">
        <v>0.5</v>
      </c>
      <c r="AV108" s="5">
        <v>1.5</v>
      </c>
      <c r="AW108" s="5">
        <v>0.2</v>
      </c>
      <c r="AX108" s="5">
        <v>1.4</v>
      </c>
      <c r="AY108" s="5">
        <v>0.3</v>
      </c>
      <c r="AZ108" s="5">
        <v>1</v>
      </c>
      <c r="BA108" s="5"/>
      <c r="BB108" s="5"/>
      <c r="BC108" s="5"/>
      <c r="BD108" s="5">
        <v>0.6</v>
      </c>
      <c r="BE108" s="5"/>
      <c r="BF108" s="5">
        <v>3.9</v>
      </c>
      <c r="BG108" s="5">
        <v>19.3</v>
      </c>
      <c r="BH108" s="5">
        <v>0.46082078175498498</v>
      </c>
      <c r="BI108" s="5">
        <f t="shared" si="11"/>
        <v>61.126413333333339</v>
      </c>
      <c r="BJ108" s="5">
        <v>24.977272727272702</v>
      </c>
      <c r="BK108" s="5">
        <f t="shared" ref="BK108:BK168" si="14">(AL108/0.237)/(AX108/0.17)</f>
        <v>1.1784207353827607</v>
      </c>
      <c r="BL108" s="5">
        <v>1.12269725408412</v>
      </c>
      <c r="BM108" s="98">
        <v>1269.26244062928</v>
      </c>
      <c r="BN108" s="5">
        <v>0.91534269421175996</v>
      </c>
      <c r="BO108" s="6">
        <v>1.8859999999997901</v>
      </c>
      <c r="BP108" s="6">
        <f t="shared" si="13"/>
        <v>1.8521370776844941</v>
      </c>
      <c r="BQ108" s="6"/>
      <c r="BR108" s="6"/>
      <c r="BS108" s="2" t="s">
        <v>295</v>
      </c>
      <c r="BT108" s="52" t="s">
        <v>332</v>
      </c>
    </row>
    <row r="109" spans="1:72">
      <c r="A109" s="2">
        <v>81520</v>
      </c>
      <c r="B109" s="2" t="s">
        <v>323</v>
      </c>
      <c r="C109" s="2" t="s">
        <v>331</v>
      </c>
      <c r="D109" s="2" t="s">
        <v>429</v>
      </c>
      <c r="E109" s="2">
        <v>2800</v>
      </c>
      <c r="F109" s="5">
        <v>51.77</v>
      </c>
      <c r="G109" s="5">
        <v>0.45</v>
      </c>
      <c r="H109" s="5">
        <v>11.3</v>
      </c>
      <c r="I109" s="5">
        <v>10.199999999999999</v>
      </c>
      <c r="J109" s="5">
        <v>0.16</v>
      </c>
      <c r="K109" s="5">
        <v>12.68</v>
      </c>
      <c r="L109" s="5">
        <v>8.82</v>
      </c>
      <c r="M109" s="5">
        <v>1.43</v>
      </c>
      <c r="N109" s="5">
        <v>0.11</v>
      </c>
      <c r="O109" s="5">
        <v>5.0999999999999997E-2</v>
      </c>
      <c r="P109" s="5">
        <v>2.86</v>
      </c>
      <c r="Q109" s="5">
        <f t="shared" si="8"/>
        <v>96.971000000000004</v>
      </c>
      <c r="R109" s="5">
        <f t="shared" si="9"/>
        <v>71.119368388519732</v>
      </c>
      <c r="S109" s="5">
        <f t="shared" si="10"/>
        <v>2697.0702391385998</v>
      </c>
      <c r="T109" s="5"/>
      <c r="U109" s="5"/>
      <c r="V109" s="5"/>
      <c r="W109" s="5">
        <v>227</v>
      </c>
      <c r="X109" s="5">
        <v>1266</v>
      </c>
      <c r="Y109" s="5">
        <v>58</v>
      </c>
      <c r="Z109" s="5">
        <v>328</v>
      </c>
      <c r="AA109" s="5"/>
      <c r="AB109" s="5"/>
      <c r="AC109" s="5"/>
      <c r="AD109" s="5">
        <v>4.4000000000000004</v>
      </c>
      <c r="AE109" s="5">
        <v>28.4</v>
      </c>
      <c r="AF109" s="5">
        <v>13.1</v>
      </c>
      <c r="AG109" s="5">
        <v>32</v>
      </c>
      <c r="AH109" s="5">
        <v>1</v>
      </c>
      <c r="AI109" s="5"/>
      <c r="AJ109" s="5"/>
      <c r="AK109" s="5">
        <v>45.4</v>
      </c>
      <c r="AL109" s="5">
        <v>2.5</v>
      </c>
      <c r="AM109" s="5">
        <v>5.0999999999999996</v>
      </c>
      <c r="AN109" s="5">
        <v>0.6</v>
      </c>
      <c r="AO109" s="5">
        <v>2.9</v>
      </c>
      <c r="AP109" s="5"/>
      <c r="AQ109" s="5">
        <v>0.4</v>
      </c>
      <c r="AR109" s="5">
        <v>1.7</v>
      </c>
      <c r="AS109" s="5">
        <v>0.4</v>
      </c>
      <c r="AT109" s="5">
        <v>2.2999999999999998</v>
      </c>
      <c r="AU109" s="5">
        <v>0.5</v>
      </c>
      <c r="AV109" s="5">
        <v>1.4</v>
      </c>
      <c r="AW109" s="5">
        <v>0.2</v>
      </c>
      <c r="AX109" s="5">
        <v>1.4</v>
      </c>
      <c r="AY109" s="5">
        <v>0.3</v>
      </c>
      <c r="AZ109" s="5">
        <v>1.1000000000000001</v>
      </c>
      <c r="BA109" s="5"/>
      <c r="BB109" s="5"/>
      <c r="BC109" s="5"/>
      <c r="BD109" s="5">
        <v>0.6</v>
      </c>
      <c r="BE109" s="5"/>
      <c r="BF109" s="5">
        <v>3.8</v>
      </c>
      <c r="BG109" s="5">
        <v>19.7</v>
      </c>
      <c r="BH109" s="5">
        <v>0.38541374474053303</v>
      </c>
      <c r="BI109" s="5">
        <f t="shared" si="11"/>
        <v>57.362250000000003</v>
      </c>
      <c r="BJ109" s="5">
        <v>25.1111111111111</v>
      </c>
      <c r="BK109" s="5">
        <f t="shared" si="14"/>
        <v>1.2808921036769139</v>
      </c>
      <c r="BL109" s="5">
        <v>1.00451859575947</v>
      </c>
      <c r="BM109" s="98">
        <v>1267.0644989668699</v>
      </c>
      <c r="BN109" s="5">
        <v>0.874237527355752</v>
      </c>
      <c r="BO109" s="6">
        <v>0.93599999999989103</v>
      </c>
      <c r="BP109" s="6">
        <f t="shared" si="13"/>
        <v>0.88569501094219183</v>
      </c>
      <c r="BQ109" s="6"/>
      <c r="BR109" s="6"/>
      <c r="BS109" s="2" t="s">
        <v>295</v>
      </c>
      <c r="BT109" s="52" t="s">
        <v>332</v>
      </c>
    </row>
    <row r="110" spans="1:72">
      <c r="A110" s="2">
        <v>81525</v>
      </c>
      <c r="B110" s="2" t="s">
        <v>323</v>
      </c>
      <c r="C110" s="2" t="s">
        <v>331</v>
      </c>
      <c r="D110" s="2" t="s">
        <v>429</v>
      </c>
      <c r="E110" s="2">
        <v>2800</v>
      </c>
      <c r="F110" s="5">
        <v>52.28</v>
      </c>
      <c r="G110" s="5">
        <v>0.55000000000000004</v>
      </c>
      <c r="H110" s="5">
        <v>14.12</v>
      </c>
      <c r="I110" s="5">
        <v>9.35</v>
      </c>
      <c r="J110" s="5">
        <v>0.16</v>
      </c>
      <c r="K110" s="5">
        <v>8</v>
      </c>
      <c r="L110" s="5">
        <v>9.1</v>
      </c>
      <c r="M110" s="5">
        <v>1.54</v>
      </c>
      <c r="N110" s="5">
        <v>1.2</v>
      </c>
      <c r="O110" s="5">
        <v>5.8000000000000003E-2</v>
      </c>
      <c r="P110" s="5">
        <v>3.26</v>
      </c>
      <c r="Q110" s="5">
        <f t="shared" si="8"/>
        <v>96.358000000000004</v>
      </c>
      <c r="R110" s="5">
        <f t="shared" si="9"/>
        <v>62.892679274410654</v>
      </c>
      <c r="S110" s="5">
        <f t="shared" si="10"/>
        <v>3296.4191811694</v>
      </c>
      <c r="T110" s="5"/>
      <c r="U110" s="5"/>
      <c r="V110" s="5"/>
      <c r="W110" s="5">
        <v>272</v>
      </c>
      <c r="X110" s="5">
        <v>203</v>
      </c>
      <c r="Y110" s="5">
        <v>44</v>
      </c>
      <c r="Z110" s="5">
        <v>109</v>
      </c>
      <c r="AA110" s="5"/>
      <c r="AB110" s="5"/>
      <c r="AC110" s="5"/>
      <c r="AD110" s="5">
        <v>58.4</v>
      </c>
      <c r="AE110" s="5">
        <v>62</v>
      </c>
      <c r="AF110" s="5">
        <v>15.2</v>
      </c>
      <c r="AG110" s="5">
        <v>41</v>
      </c>
      <c r="AH110" s="5">
        <v>1.4</v>
      </c>
      <c r="AI110" s="5"/>
      <c r="AJ110" s="5"/>
      <c r="AK110" s="5">
        <v>97</v>
      </c>
      <c r="AL110" s="5">
        <v>2.9</v>
      </c>
      <c r="AM110" s="5">
        <v>5.8</v>
      </c>
      <c r="AN110" s="5">
        <v>0.8</v>
      </c>
      <c r="AO110" s="5">
        <v>3.7</v>
      </c>
      <c r="AP110" s="5"/>
      <c r="AQ110" s="5">
        <v>0.5</v>
      </c>
      <c r="AR110" s="5">
        <v>1.8</v>
      </c>
      <c r="AS110" s="5">
        <v>0.4</v>
      </c>
      <c r="AT110" s="5">
        <v>2.6</v>
      </c>
      <c r="AU110" s="5">
        <v>0.5</v>
      </c>
      <c r="AV110" s="5">
        <v>1.8</v>
      </c>
      <c r="AW110" s="5">
        <v>0.3</v>
      </c>
      <c r="AX110" s="5">
        <v>1.7</v>
      </c>
      <c r="AY110" s="5">
        <v>0.3</v>
      </c>
      <c r="AZ110" s="5">
        <v>1.1000000000000001</v>
      </c>
      <c r="BA110" s="5"/>
      <c r="BB110" s="5"/>
      <c r="BC110" s="5"/>
      <c r="BD110" s="5">
        <v>0.7</v>
      </c>
      <c r="BE110" s="5"/>
      <c r="BF110" s="5">
        <v>4.5999999999999996</v>
      </c>
      <c r="BG110" s="5">
        <v>23.1</v>
      </c>
      <c r="BH110" s="5">
        <v>0.46515451951443598</v>
      </c>
      <c r="BI110" s="5">
        <f t="shared" si="11"/>
        <v>52.582062500000006</v>
      </c>
      <c r="BJ110" s="5">
        <v>25.6727272727273</v>
      </c>
      <c r="BK110" s="5">
        <f t="shared" si="14"/>
        <v>1.2236286919831227</v>
      </c>
      <c r="BL110" s="5">
        <v>0.87591240875912402</v>
      </c>
      <c r="BM110" s="98">
        <v>1247.4395932304201</v>
      </c>
      <c r="BN110" s="5">
        <v>0.88678312673272197</v>
      </c>
      <c r="BO110" s="6">
        <v>1.5909999999998301</v>
      </c>
      <c r="BP110" s="6">
        <f t="shared" si="13"/>
        <v>1.545713250692919</v>
      </c>
      <c r="BQ110" s="6"/>
      <c r="BR110" s="6"/>
      <c r="BS110" s="2" t="s">
        <v>295</v>
      </c>
      <c r="BT110" s="52" t="s">
        <v>332</v>
      </c>
    </row>
    <row r="111" spans="1:72">
      <c r="A111" s="2">
        <v>209105</v>
      </c>
      <c r="B111" s="2" t="s">
        <v>323</v>
      </c>
      <c r="C111" s="2" t="s">
        <v>331</v>
      </c>
      <c r="D111" s="2" t="s">
        <v>429</v>
      </c>
      <c r="E111" s="2">
        <v>2800</v>
      </c>
      <c r="F111" s="5">
        <v>49.7</v>
      </c>
      <c r="G111" s="5">
        <v>0.4</v>
      </c>
      <c r="H111" s="5">
        <v>10.4</v>
      </c>
      <c r="I111" s="5">
        <v>10.06</v>
      </c>
      <c r="J111" s="5">
        <v>0.17</v>
      </c>
      <c r="K111" s="5">
        <v>15.84</v>
      </c>
      <c r="L111" s="5">
        <v>8.11</v>
      </c>
      <c r="M111" s="5">
        <v>1.0900000000000001</v>
      </c>
      <c r="N111" s="5">
        <v>0.26</v>
      </c>
      <c r="O111" s="5">
        <v>4.2000000000000003E-2</v>
      </c>
      <c r="P111" s="5">
        <v>3.59</v>
      </c>
      <c r="Q111" s="5">
        <f t="shared" si="8"/>
        <v>96.072000000000017</v>
      </c>
      <c r="R111" s="5">
        <f t="shared" si="9"/>
        <v>75.722429638087405</v>
      </c>
      <c r="S111" s="5">
        <f t="shared" si="10"/>
        <v>2397.3957681232</v>
      </c>
      <c r="T111" s="5"/>
      <c r="U111" s="5"/>
      <c r="V111" s="5"/>
      <c r="W111" s="5">
        <v>215</v>
      </c>
      <c r="X111" s="5">
        <v>1451</v>
      </c>
      <c r="Y111" s="5">
        <v>59</v>
      </c>
      <c r="Z111" s="5">
        <v>444</v>
      </c>
      <c r="AA111" s="5"/>
      <c r="AB111" s="5"/>
      <c r="AC111" s="5"/>
      <c r="AD111" s="5">
        <v>12.4</v>
      </c>
      <c r="AE111" s="5">
        <v>50.2</v>
      </c>
      <c r="AF111" s="5">
        <v>12.9</v>
      </c>
      <c r="AG111" s="5">
        <v>29</v>
      </c>
      <c r="AH111" s="5">
        <v>0.8</v>
      </c>
      <c r="AI111" s="5"/>
      <c r="AJ111" s="5"/>
      <c r="AK111" s="5">
        <v>158.69999999999999</v>
      </c>
      <c r="AL111" s="5">
        <v>2</v>
      </c>
      <c r="AM111" s="5">
        <v>4.2</v>
      </c>
      <c r="AN111" s="5">
        <v>0.5</v>
      </c>
      <c r="AO111" s="5">
        <v>3</v>
      </c>
      <c r="AP111" s="5"/>
      <c r="AQ111" s="5">
        <v>0.5</v>
      </c>
      <c r="AR111" s="5">
        <v>1.4</v>
      </c>
      <c r="AS111" s="5">
        <v>0.3</v>
      </c>
      <c r="AT111" s="5">
        <v>2</v>
      </c>
      <c r="AU111" s="5">
        <v>0.4</v>
      </c>
      <c r="AV111" s="5">
        <v>1.2</v>
      </c>
      <c r="AW111" s="5">
        <v>0.2</v>
      </c>
      <c r="AX111" s="5">
        <v>1.4</v>
      </c>
      <c r="AY111" s="5">
        <v>0.2</v>
      </c>
      <c r="AZ111" s="5">
        <v>0.9</v>
      </c>
      <c r="BA111" s="5"/>
      <c r="BB111" s="5"/>
      <c r="BC111" s="5"/>
      <c r="BD111" s="5">
        <v>0.5</v>
      </c>
      <c r="BE111" s="5"/>
      <c r="BF111" s="5">
        <v>3.4</v>
      </c>
      <c r="BG111" s="5">
        <v>17.3</v>
      </c>
      <c r="BH111" s="5">
        <v>0.38541374474053303</v>
      </c>
      <c r="BI111" s="5">
        <f t="shared" si="11"/>
        <v>53.246988235294126</v>
      </c>
      <c r="BJ111" s="5">
        <v>26</v>
      </c>
      <c r="BK111" s="5">
        <f t="shared" si="14"/>
        <v>1.0247136829415311</v>
      </c>
      <c r="BL111" s="5">
        <v>0.82725060827250596</v>
      </c>
      <c r="BM111" s="98">
        <v>1271.41838810286</v>
      </c>
      <c r="BN111" s="5">
        <v>1.00192740400021</v>
      </c>
      <c r="BO111" s="6">
        <v>0.82099999999989104</v>
      </c>
      <c r="BP111" s="6">
        <f t="shared" si="13"/>
        <v>0.82177096159997498</v>
      </c>
      <c r="BQ111" s="6"/>
      <c r="BR111" s="6"/>
      <c r="BS111" s="2" t="s">
        <v>295</v>
      </c>
      <c r="BT111" s="52" t="s">
        <v>332</v>
      </c>
    </row>
    <row r="112" spans="1:72">
      <c r="A112" s="2">
        <v>209106</v>
      </c>
      <c r="B112" s="2" t="s">
        <v>323</v>
      </c>
      <c r="C112" s="2" t="s">
        <v>331</v>
      </c>
      <c r="D112" s="2" t="s">
        <v>429</v>
      </c>
      <c r="E112" s="2">
        <v>2800</v>
      </c>
      <c r="F112" s="5">
        <v>51.82</v>
      </c>
      <c r="G112" s="5">
        <v>0.46</v>
      </c>
      <c r="H112" s="5">
        <v>11.98</v>
      </c>
      <c r="I112" s="5">
        <v>8.6199999999999992</v>
      </c>
      <c r="J112" s="5">
        <v>0.17</v>
      </c>
      <c r="K112" s="5">
        <v>12</v>
      </c>
      <c r="L112" s="5">
        <v>11.33</v>
      </c>
      <c r="M112" s="5">
        <v>1.75</v>
      </c>
      <c r="N112" s="5">
        <v>0.09</v>
      </c>
      <c r="O112" s="5">
        <v>4.7E-2</v>
      </c>
      <c r="P112" s="5">
        <v>1.74</v>
      </c>
      <c r="Q112" s="5">
        <f t="shared" si="8"/>
        <v>98.26700000000001</v>
      </c>
      <c r="R112" s="5">
        <f t="shared" si="9"/>
        <v>73.387485771696745</v>
      </c>
      <c r="S112" s="5">
        <f t="shared" si="10"/>
        <v>2757.00513334168</v>
      </c>
      <c r="T112" s="5"/>
      <c r="U112" s="5"/>
      <c r="V112" s="5"/>
      <c r="W112" s="5">
        <v>243</v>
      </c>
      <c r="X112" s="5">
        <v>1351</v>
      </c>
      <c r="Y112" s="5">
        <v>45</v>
      </c>
      <c r="Z112" s="5">
        <v>296</v>
      </c>
      <c r="AA112" s="5"/>
      <c r="AB112" s="5"/>
      <c r="AC112" s="5"/>
      <c r="AD112" s="5">
        <v>2.6</v>
      </c>
      <c r="AE112" s="5">
        <v>108.5</v>
      </c>
      <c r="AF112" s="5">
        <v>13.9</v>
      </c>
      <c r="AG112" s="5">
        <v>32</v>
      </c>
      <c r="AH112" s="5">
        <v>1</v>
      </c>
      <c r="AI112" s="5"/>
      <c r="AJ112" s="5"/>
      <c r="AK112" s="5">
        <v>44.5</v>
      </c>
      <c r="AL112" s="5">
        <v>2.8</v>
      </c>
      <c r="AM112" s="5">
        <v>5.8</v>
      </c>
      <c r="AN112" s="5">
        <v>0.7</v>
      </c>
      <c r="AO112" s="5">
        <v>3.4</v>
      </c>
      <c r="AP112" s="5"/>
      <c r="AQ112" s="5">
        <v>0.4</v>
      </c>
      <c r="AR112" s="5">
        <v>1.7</v>
      </c>
      <c r="AS112" s="5">
        <v>0.3</v>
      </c>
      <c r="AT112" s="5">
        <v>2.1</v>
      </c>
      <c r="AU112" s="5">
        <v>0.5</v>
      </c>
      <c r="AV112" s="5">
        <v>1.4</v>
      </c>
      <c r="AW112" s="5">
        <v>0.3</v>
      </c>
      <c r="AX112" s="5">
        <v>1.5</v>
      </c>
      <c r="AY112" s="5">
        <v>0.3</v>
      </c>
      <c r="AZ112" s="5">
        <v>1</v>
      </c>
      <c r="BA112" s="5"/>
      <c r="BB112" s="5"/>
      <c r="BC112" s="5"/>
      <c r="BD112" s="5">
        <v>0.5</v>
      </c>
      <c r="BE112" s="5"/>
      <c r="BF112" s="5">
        <v>4</v>
      </c>
      <c r="BG112" s="5">
        <v>21.2</v>
      </c>
      <c r="BH112" s="5">
        <v>0.34411941494690401</v>
      </c>
      <c r="BI112" s="5">
        <f t="shared" si="11"/>
        <v>45.625152941176466</v>
      </c>
      <c r="BJ112" s="5">
        <v>26.043478260869598</v>
      </c>
      <c r="BK112" s="5">
        <f t="shared" si="14"/>
        <v>1.338959212376934</v>
      </c>
      <c r="BL112" s="5">
        <v>0.93755068937550701</v>
      </c>
      <c r="BM112" s="98">
        <v>1221.2208597061899</v>
      </c>
      <c r="BN112" s="5">
        <v>0.73670390134463604</v>
      </c>
      <c r="BO112" s="6">
        <v>1.6759999999998201</v>
      </c>
      <c r="BP112" s="6">
        <f t="shared" si="13"/>
        <v>1.5706815605376745</v>
      </c>
      <c r="BQ112" s="6"/>
      <c r="BR112" s="6"/>
      <c r="BS112" s="2" t="s">
        <v>295</v>
      </c>
      <c r="BT112" s="52" t="s">
        <v>332</v>
      </c>
    </row>
    <row r="113" spans="1:72">
      <c r="A113" s="2">
        <v>209107</v>
      </c>
      <c r="B113" s="2" t="s">
        <v>323</v>
      </c>
      <c r="C113" s="2" t="s">
        <v>331</v>
      </c>
      <c r="D113" s="2" t="s">
        <v>429</v>
      </c>
      <c r="E113" s="2">
        <v>2800</v>
      </c>
      <c r="F113" s="5">
        <v>49.73</v>
      </c>
      <c r="G113" s="5">
        <v>0.41</v>
      </c>
      <c r="H113" s="5">
        <v>10.81</v>
      </c>
      <c r="I113" s="5">
        <v>10.08</v>
      </c>
      <c r="J113" s="5">
        <v>0.19</v>
      </c>
      <c r="K113" s="5">
        <v>14.16</v>
      </c>
      <c r="L113" s="5">
        <v>10.73</v>
      </c>
      <c r="M113" s="5">
        <v>1.25</v>
      </c>
      <c r="N113" s="5">
        <v>0.09</v>
      </c>
      <c r="O113" s="5">
        <v>4.2000000000000003E-2</v>
      </c>
      <c r="P113" s="5">
        <v>2.38</v>
      </c>
      <c r="Q113" s="5">
        <f t="shared" si="8"/>
        <v>97.492000000000004</v>
      </c>
      <c r="R113" s="5">
        <f t="shared" si="9"/>
        <v>73.563787344808134</v>
      </c>
      <c r="S113" s="5">
        <f t="shared" si="10"/>
        <v>2457.3306623262797</v>
      </c>
      <c r="T113" s="5"/>
      <c r="U113" s="5"/>
      <c r="V113" s="5"/>
      <c r="W113" s="5">
        <v>222</v>
      </c>
      <c r="X113" s="5">
        <v>1365</v>
      </c>
      <c r="Y113" s="5">
        <v>56</v>
      </c>
      <c r="Z113" s="5">
        <v>374</v>
      </c>
      <c r="AA113" s="5"/>
      <c r="AB113" s="5"/>
      <c r="AC113" s="5"/>
      <c r="AD113" s="5">
        <v>3</v>
      </c>
      <c r="AE113" s="5">
        <v>70.2</v>
      </c>
      <c r="AF113" s="5">
        <v>12.7</v>
      </c>
      <c r="AG113" s="5">
        <v>32</v>
      </c>
      <c r="AH113" s="5">
        <v>1</v>
      </c>
      <c r="AI113" s="5"/>
      <c r="AJ113" s="5"/>
      <c r="AK113" s="5">
        <v>21.7</v>
      </c>
      <c r="AL113" s="5">
        <v>2</v>
      </c>
      <c r="AM113" s="5">
        <v>4.5</v>
      </c>
      <c r="AN113" s="5">
        <v>0.6</v>
      </c>
      <c r="AO113" s="5">
        <v>2.2999999999999998</v>
      </c>
      <c r="AP113" s="5"/>
      <c r="AQ113" s="5">
        <v>0.3</v>
      </c>
      <c r="AR113" s="5">
        <v>1.7</v>
      </c>
      <c r="AS113" s="5">
        <v>0.3</v>
      </c>
      <c r="AT113" s="5">
        <v>1.9</v>
      </c>
      <c r="AU113" s="5">
        <v>0.4</v>
      </c>
      <c r="AV113" s="5">
        <v>1.6</v>
      </c>
      <c r="AW113" s="5">
        <v>0.2</v>
      </c>
      <c r="AX113" s="5">
        <v>1.3</v>
      </c>
      <c r="AY113" s="5">
        <v>0.2</v>
      </c>
      <c r="AZ113" s="5">
        <v>0.9</v>
      </c>
      <c r="BA113" s="5"/>
      <c r="BB113" s="5"/>
      <c r="BC113" s="5"/>
      <c r="BD113" s="5">
        <v>0.5</v>
      </c>
      <c r="BE113" s="5"/>
      <c r="BF113" s="5">
        <v>3.7</v>
      </c>
      <c r="BG113" s="5">
        <v>17.3</v>
      </c>
      <c r="BH113" s="5">
        <v>0.48176718092566601</v>
      </c>
      <c r="BI113" s="5">
        <f t="shared" si="11"/>
        <v>47.73675789473684</v>
      </c>
      <c r="BJ113" s="5">
        <v>26.365853658536601</v>
      </c>
      <c r="BK113" s="5">
        <f t="shared" si="14"/>
        <v>1.103537812398572</v>
      </c>
      <c r="BL113" s="5">
        <v>1.08178925697174</v>
      </c>
      <c r="BM113" s="98">
        <v>1276.16162557499</v>
      </c>
      <c r="BN113" s="5">
        <v>1.0630180036977599</v>
      </c>
      <c r="BO113" s="6">
        <v>0.85199999999989096</v>
      </c>
      <c r="BP113" s="6">
        <f t="shared" si="13"/>
        <v>0.87720720147899489</v>
      </c>
      <c r="BQ113" s="6"/>
      <c r="BR113" s="6"/>
      <c r="BS113" s="2" t="s">
        <v>295</v>
      </c>
      <c r="BT113" s="52" t="s">
        <v>332</v>
      </c>
    </row>
    <row r="114" spans="1:72">
      <c r="A114" s="2">
        <v>209108</v>
      </c>
      <c r="B114" s="2" t="s">
        <v>323</v>
      </c>
      <c r="C114" s="2" t="s">
        <v>331</v>
      </c>
      <c r="D114" s="2" t="s">
        <v>429</v>
      </c>
      <c r="E114" s="2">
        <v>2800</v>
      </c>
      <c r="F114" s="5">
        <v>50.73</v>
      </c>
      <c r="G114" s="5">
        <v>0.4</v>
      </c>
      <c r="H114" s="5">
        <v>10.3</v>
      </c>
      <c r="I114" s="5">
        <v>9.57</v>
      </c>
      <c r="J114" s="5">
        <v>0.19</v>
      </c>
      <c r="K114" s="5">
        <v>13.78</v>
      </c>
      <c r="L114" s="5">
        <v>11.45</v>
      </c>
      <c r="M114" s="5">
        <v>1.1599999999999999</v>
      </c>
      <c r="N114" s="5">
        <v>0.17</v>
      </c>
      <c r="O114" s="5">
        <v>5.8999999999999997E-2</v>
      </c>
      <c r="P114" s="5">
        <v>2.35</v>
      </c>
      <c r="Q114" s="5">
        <f t="shared" si="8"/>
        <v>97.808999999999997</v>
      </c>
      <c r="R114" s="5">
        <f t="shared" si="9"/>
        <v>74.041667594711171</v>
      </c>
      <c r="S114" s="5">
        <f t="shared" si="10"/>
        <v>2397.3957681232</v>
      </c>
      <c r="T114" s="5"/>
      <c r="U114" s="5"/>
      <c r="V114" s="5"/>
      <c r="W114" s="5">
        <v>213</v>
      </c>
      <c r="X114" s="5">
        <v>1023</v>
      </c>
      <c r="Y114" s="5">
        <v>54</v>
      </c>
      <c r="Z114" s="5">
        <v>239</v>
      </c>
      <c r="AA114" s="5"/>
      <c r="AB114" s="5"/>
      <c r="AC114" s="5"/>
      <c r="AD114" s="5">
        <v>8</v>
      </c>
      <c r="AE114" s="5">
        <v>68.900000000000006</v>
      </c>
      <c r="AF114" s="5">
        <v>11.5</v>
      </c>
      <c r="AG114" s="5">
        <v>32</v>
      </c>
      <c r="AH114" s="5">
        <v>0.9</v>
      </c>
      <c r="AI114" s="5"/>
      <c r="AJ114" s="5"/>
      <c r="AK114" s="5">
        <v>38.299999999999997</v>
      </c>
      <c r="AL114" s="5">
        <v>2.2999999999999998</v>
      </c>
      <c r="AM114" s="5">
        <v>4.5999999999999996</v>
      </c>
      <c r="AN114" s="5">
        <v>0.6</v>
      </c>
      <c r="AO114" s="5">
        <v>3</v>
      </c>
      <c r="AP114" s="5"/>
      <c r="AQ114" s="5">
        <v>0.5</v>
      </c>
      <c r="AR114" s="5">
        <v>1.4</v>
      </c>
      <c r="AS114" s="5">
        <v>0.3</v>
      </c>
      <c r="AT114" s="5">
        <v>1.9</v>
      </c>
      <c r="AU114" s="5">
        <v>0.4</v>
      </c>
      <c r="AV114" s="5">
        <v>1.2</v>
      </c>
      <c r="AW114" s="5">
        <v>0.1</v>
      </c>
      <c r="AX114" s="5">
        <v>1.4</v>
      </c>
      <c r="AY114" s="5">
        <v>0.2</v>
      </c>
      <c r="AZ114" s="5">
        <v>1.1000000000000001</v>
      </c>
      <c r="BA114" s="5"/>
      <c r="BB114" s="5"/>
      <c r="BC114" s="5"/>
      <c r="BD114" s="5">
        <v>0.5</v>
      </c>
      <c r="BE114" s="5"/>
      <c r="BF114" s="5">
        <v>3.3</v>
      </c>
      <c r="BG114" s="5">
        <v>17.899999999999999</v>
      </c>
      <c r="BH114" s="5">
        <v>0.37703518507226103</v>
      </c>
      <c r="BI114" s="5">
        <f t="shared" si="11"/>
        <v>45.321505263157896</v>
      </c>
      <c r="BJ114" s="5">
        <v>25.75</v>
      </c>
      <c r="BK114" s="5">
        <f t="shared" si="14"/>
        <v>1.1784207353827607</v>
      </c>
      <c r="BL114" s="5">
        <v>0.82725060827250596</v>
      </c>
      <c r="BM114" s="98">
        <v>1256.2802283692899</v>
      </c>
      <c r="BN114" s="5">
        <v>0.87669782099077098</v>
      </c>
      <c r="BO114" s="6">
        <v>0.95999999999989105</v>
      </c>
      <c r="BP114" s="6">
        <f t="shared" si="13"/>
        <v>0.91067912839619947</v>
      </c>
      <c r="BQ114" s="6"/>
      <c r="BR114" s="6"/>
      <c r="BS114" s="2" t="s">
        <v>295</v>
      </c>
      <c r="BT114" s="52" t="s">
        <v>332</v>
      </c>
    </row>
    <row r="115" spans="1:72">
      <c r="A115" s="2">
        <v>209109</v>
      </c>
      <c r="B115" s="2" t="s">
        <v>323</v>
      </c>
      <c r="C115" s="2" t="s">
        <v>331</v>
      </c>
      <c r="D115" s="2" t="s">
        <v>429</v>
      </c>
      <c r="E115" s="2">
        <v>2800</v>
      </c>
      <c r="F115" s="5">
        <v>51.96</v>
      </c>
      <c r="G115" s="5">
        <v>0.45</v>
      </c>
      <c r="H115" s="5">
        <v>11.8</v>
      </c>
      <c r="I115" s="5">
        <v>9.98</v>
      </c>
      <c r="J115" s="5">
        <v>0.17</v>
      </c>
      <c r="K115" s="5">
        <v>12.44</v>
      </c>
      <c r="L115" s="5">
        <v>8.91</v>
      </c>
      <c r="M115" s="5">
        <v>1.1499999999999999</v>
      </c>
      <c r="N115" s="5">
        <v>0.16</v>
      </c>
      <c r="O115" s="5">
        <v>4.7E-2</v>
      </c>
      <c r="P115" s="5">
        <v>2.66</v>
      </c>
      <c r="Q115" s="5">
        <f t="shared" si="8"/>
        <v>97.067000000000007</v>
      </c>
      <c r="R115" s="5">
        <f t="shared" si="9"/>
        <v>71.174707181957814</v>
      </c>
      <c r="S115" s="5">
        <f t="shared" si="10"/>
        <v>2697.0702391385998</v>
      </c>
      <c r="T115" s="5"/>
      <c r="U115" s="5"/>
      <c r="V115" s="5"/>
      <c r="W115" s="5">
        <v>247</v>
      </c>
      <c r="X115" s="5">
        <v>1014</v>
      </c>
      <c r="Y115" s="5">
        <v>50</v>
      </c>
      <c r="Z115" s="5">
        <v>238</v>
      </c>
      <c r="AA115" s="5"/>
      <c r="AB115" s="5"/>
      <c r="AC115" s="5"/>
      <c r="AD115" s="5">
        <v>6.8</v>
      </c>
      <c r="AE115" s="5">
        <v>64.3</v>
      </c>
      <c r="AF115" s="5">
        <v>13.5</v>
      </c>
      <c r="AG115" s="5">
        <v>34</v>
      </c>
      <c r="AH115" s="5">
        <v>0.7</v>
      </c>
      <c r="AI115" s="5"/>
      <c r="AJ115" s="5"/>
      <c r="AK115" s="5">
        <v>121.7</v>
      </c>
      <c r="AL115" s="5">
        <v>2.2999999999999998</v>
      </c>
      <c r="AM115" s="5">
        <v>4.5</v>
      </c>
      <c r="AN115" s="5">
        <v>0.7</v>
      </c>
      <c r="AO115" s="5">
        <v>2.9</v>
      </c>
      <c r="AP115" s="5"/>
      <c r="AQ115" s="5">
        <v>0.3</v>
      </c>
      <c r="AR115" s="5">
        <v>1.6</v>
      </c>
      <c r="AS115" s="5">
        <v>0.3</v>
      </c>
      <c r="AT115" s="5">
        <v>2.2999999999999998</v>
      </c>
      <c r="AU115" s="5">
        <v>0.5</v>
      </c>
      <c r="AV115" s="5">
        <v>1.8</v>
      </c>
      <c r="AW115" s="5">
        <v>0.3</v>
      </c>
      <c r="AX115" s="5">
        <v>1.4</v>
      </c>
      <c r="AY115" s="5">
        <v>0.2</v>
      </c>
      <c r="AZ115" s="5">
        <v>1</v>
      </c>
      <c r="BA115" s="5"/>
      <c r="BB115" s="5"/>
      <c r="BC115" s="5"/>
      <c r="BD115" s="5">
        <v>0.5</v>
      </c>
      <c r="BE115" s="5"/>
      <c r="BF115" s="5">
        <v>4.2</v>
      </c>
      <c r="BG115" s="5">
        <v>19.100000000000001</v>
      </c>
      <c r="BH115" s="5">
        <v>0.29324958838953602</v>
      </c>
      <c r="BI115" s="5">
        <f t="shared" si="11"/>
        <v>52.823552941176473</v>
      </c>
      <c r="BJ115" s="5">
        <v>26.2222222222222</v>
      </c>
      <c r="BK115" s="5">
        <f t="shared" si="14"/>
        <v>1.1784207353827607</v>
      </c>
      <c r="BL115" s="5">
        <v>0.94542926659714999</v>
      </c>
      <c r="BM115" s="98">
        <v>1260.75049955076</v>
      </c>
      <c r="BN115" s="5">
        <v>0.81280455224696802</v>
      </c>
      <c r="BO115" s="6">
        <v>1.29299999999986</v>
      </c>
      <c r="BP115" s="6">
        <f t="shared" si="13"/>
        <v>1.2181218208986473</v>
      </c>
      <c r="BQ115" s="6"/>
      <c r="BR115" s="6"/>
      <c r="BS115" s="2" t="s">
        <v>295</v>
      </c>
      <c r="BT115" s="52" t="s">
        <v>332</v>
      </c>
    </row>
    <row r="116" spans="1:72">
      <c r="A116" s="2">
        <v>209110</v>
      </c>
      <c r="B116" s="2" t="s">
        <v>323</v>
      </c>
      <c r="C116" s="2" t="s">
        <v>331</v>
      </c>
      <c r="D116" s="2" t="s">
        <v>429</v>
      </c>
      <c r="E116" s="2">
        <v>2800</v>
      </c>
      <c r="F116" s="5">
        <v>49.45</v>
      </c>
      <c r="G116" s="5">
        <v>0.41</v>
      </c>
      <c r="H116" s="5">
        <v>10.82</v>
      </c>
      <c r="I116" s="5">
        <v>10.33</v>
      </c>
      <c r="J116" s="5">
        <v>0.21</v>
      </c>
      <c r="K116" s="5">
        <v>14.6</v>
      </c>
      <c r="L116" s="5">
        <v>10.6</v>
      </c>
      <c r="M116" s="5">
        <v>1.3</v>
      </c>
      <c r="N116" s="5">
        <v>0.1</v>
      </c>
      <c r="O116" s="5">
        <v>0.04</v>
      </c>
      <c r="P116" s="5">
        <v>2.27</v>
      </c>
      <c r="Q116" s="5">
        <f t="shared" si="8"/>
        <v>97.859999999999985</v>
      </c>
      <c r="R116" s="5">
        <f t="shared" si="9"/>
        <v>73.682273864259557</v>
      </c>
      <c r="S116" s="5">
        <f t="shared" si="10"/>
        <v>2457.3306623262797</v>
      </c>
      <c r="T116" s="5"/>
      <c r="U116" s="5"/>
      <c r="V116" s="5"/>
      <c r="W116" s="5">
        <v>189</v>
      </c>
      <c r="X116" s="5">
        <v>1420</v>
      </c>
      <c r="Y116" s="5">
        <v>55</v>
      </c>
      <c r="Z116" s="5">
        <v>359</v>
      </c>
      <c r="AA116" s="5"/>
      <c r="AB116" s="5"/>
      <c r="AC116" s="5"/>
      <c r="AD116" s="5">
        <v>3.3</v>
      </c>
      <c r="AE116" s="5">
        <v>66.3</v>
      </c>
      <c r="AF116" s="5">
        <v>13.1</v>
      </c>
      <c r="AG116" s="5">
        <v>31</v>
      </c>
      <c r="AH116" s="5">
        <v>0.8</v>
      </c>
      <c r="AI116" s="5"/>
      <c r="AJ116" s="5">
        <v>0.09</v>
      </c>
      <c r="AK116" s="5">
        <v>29.5</v>
      </c>
      <c r="AL116" s="5">
        <v>2.1</v>
      </c>
      <c r="AM116" s="5">
        <v>4.2</v>
      </c>
      <c r="AN116" s="5">
        <v>0.54</v>
      </c>
      <c r="AO116" s="5">
        <v>2.6</v>
      </c>
      <c r="AP116" s="5"/>
      <c r="AQ116" s="5">
        <v>0.28000000000000003</v>
      </c>
      <c r="AR116" s="5">
        <v>1.58</v>
      </c>
      <c r="AS116" s="5">
        <v>0.3</v>
      </c>
      <c r="AT116" s="5">
        <v>2.09</v>
      </c>
      <c r="AU116" s="5">
        <v>0.46</v>
      </c>
      <c r="AV116" s="5">
        <v>1.4</v>
      </c>
      <c r="AW116" s="5">
        <v>0.22</v>
      </c>
      <c r="AX116" s="5">
        <v>1.47</v>
      </c>
      <c r="AY116" s="5">
        <v>0.22</v>
      </c>
      <c r="AZ116" s="5">
        <v>0.8</v>
      </c>
      <c r="BA116" s="5"/>
      <c r="BB116" s="5"/>
      <c r="BC116" s="5"/>
      <c r="BD116" s="5">
        <v>0.55000000000000004</v>
      </c>
      <c r="BE116" s="5"/>
      <c r="BF116" s="5">
        <v>3.77</v>
      </c>
      <c r="BG116" s="5">
        <v>17.46</v>
      </c>
      <c r="BH116" s="5">
        <v>0.36706070927669798</v>
      </c>
      <c r="BI116" s="5">
        <f t="shared" si="11"/>
        <v>44.261590476190484</v>
      </c>
      <c r="BJ116" s="5">
        <v>26.390243902439</v>
      </c>
      <c r="BK116" s="5">
        <f t="shared" si="14"/>
        <v>1.0247136829415313</v>
      </c>
      <c r="BL116" s="5">
        <v>0.88915371501398599</v>
      </c>
      <c r="BM116" s="98">
        <v>1286.8965366252401</v>
      </c>
      <c r="BN116" s="5">
        <v>1.16861847542942</v>
      </c>
      <c r="BO116" s="6">
        <v>0.20399999999989099</v>
      </c>
      <c r="BP116" s="6">
        <f t="shared" si="13"/>
        <v>0.27144739017165898</v>
      </c>
      <c r="BQ116" s="6"/>
      <c r="BR116" s="6"/>
      <c r="BS116" s="2" t="s">
        <v>295</v>
      </c>
      <c r="BT116" s="52" t="s">
        <v>332</v>
      </c>
    </row>
    <row r="117" spans="1:72">
      <c r="A117" s="2">
        <v>209130</v>
      </c>
      <c r="B117" s="2" t="s">
        <v>323</v>
      </c>
      <c r="C117" s="2" t="s">
        <v>331</v>
      </c>
      <c r="D117" s="2" t="s">
        <v>429</v>
      </c>
      <c r="E117" s="2">
        <v>2800</v>
      </c>
      <c r="F117" s="5">
        <v>52.14</v>
      </c>
      <c r="G117" s="5">
        <v>0.45</v>
      </c>
      <c r="H117" s="5">
        <v>11.92</v>
      </c>
      <c r="I117" s="5">
        <v>9.9</v>
      </c>
      <c r="J117" s="5">
        <v>0.17</v>
      </c>
      <c r="K117" s="5">
        <v>11.65</v>
      </c>
      <c r="L117" s="5">
        <v>9.48</v>
      </c>
      <c r="M117" s="5">
        <v>1.1200000000000001</v>
      </c>
      <c r="N117" s="5">
        <v>0.08</v>
      </c>
      <c r="O117" s="5">
        <v>0.05</v>
      </c>
      <c r="P117" s="5">
        <v>3.13</v>
      </c>
      <c r="Q117" s="5">
        <f t="shared" si="8"/>
        <v>96.960000000000022</v>
      </c>
      <c r="R117" s="5">
        <f t="shared" si="9"/>
        <v>69.97949705921404</v>
      </c>
      <c r="S117" s="5">
        <f t="shared" si="10"/>
        <v>2697.0702391385998</v>
      </c>
      <c r="T117" s="5"/>
      <c r="U117" s="5"/>
      <c r="V117" s="5"/>
      <c r="W117" s="5">
        <v>235</v>
      </c>
      <c r="X117" s="5">
        <v>1150</v>
      </c>
      <c r="Y117" s="5">
        <v>48</v>
      </c>
      <c r="Z117" s="5">
        <v>280</v>
      </c>
      <c r="AA117" s="5"/>
      <c r="AB117" s="5"/>
      <c r="AC117" s="5"/>
      <c r="AD117" s="5">
        <v>2.5</v>
      </c>
      <c r="AE117" s="5">
        <v>37.5</v>
      </c>
      <c r="AF117" s="5">
        <v>15.2</v>
      </c>
      <c r="AG117" s="5">
        <v>38</v>
      </c>
      <c r="AH117" s="5">
        <v>1.1000000000000001</v>
      </c>
      <c r="AI117" s="5"/>
      <c r="AJ117" s="5">
        <v>1.3</v>
      </c>
      <c r="AK117" s="5">
        <v>22.3</v>
      </c>
      <c r="AL117" s="5">
        <v>2.7</v>
      </c>
      <c r="AM117" s="5">
        <v>5.5</v>
      </c>
      <c r="AN117" s="5">
        <v>0.7</v>
      </c>
      <c r="AO117" s="5">
        <v>3.3</v>
      </c>
      <c r="AP117" s="5"/>
      <c r="AQ117" s="5">
        <v>0.42</v>
      </c>
      <c r="AR117" s="5">
        <v>1.89</v>
      </c>
      <c r="AS117" s="5">
        <v>0.36</v>
      </c>
      <c r="AT117" s="5">
        <v>2.5</v>
      </c>
      <c r="AU117" s="5">
        <v>0.57999999999999996</v>
      </c>
      <c r="AV117" s="5">
        <v>1.68</v>
      </c>
      <c r="AW117" s="5">
        <v>0.26</v>
      </c>
      <c r="AX117" s="5">
        <v>1.73</v>
      </c>
      <c r="AY117" s="5">
        <v>0.26</v>
      </c>
      <c r="AZ117" s="5">
        <v>1</v>
      </c>
      <c r="BA117" s="5"/>
      <c r="BB117" s="5"/>
      <c r="BC117" s="5"/>
      <c r="BD117" s="5">
        <v>0.69</v>
      </c>
      <c r="BE117" s="5"/>
      <c r="BF117" s="5">
        <v>4.51</v>
      </c>
      <c r="BG117" s="5">
        <v>21.88</v>
      </c>
      <c r="BH117" s="5">
        <v>0.39255103630980198</v>
      </c>
      <c r="BI117" s="5">
        <f t="shared" si="11"/>
        <v>52.400117647058821</v>
      </c>
      <c r="BJ117" s="5">
        <v>26.488888888888901</v>
      </c>
      <c r="BK117" s="5">
        <f t="shared" si="14"/>
        <v>1.1194848906124244</v>
      </c>
      <c r="BL117" s="5">
        <v>0.90375933504915396</v>
      </c>
      <c r="BM117" s="98">
        <v>1257.8201677792699</v>
      </c>
      <c r="BN117" s="5">
        <v>0.77078783078792001</v>
      </c>
      <c r="BO117" s="6">
        <v>1.1569999999998699</v>
      </c>
      <c r="BP117" s="6">
        <f t="shared" si="13"/>
        <v>1.0653151323150378</v>
      </c>
      <c r="BQ117" s="6"/>
      <c r="BR117" s="6"/>
      <c r="BS117" s="2" t="s">
        <v>295</v>
      </c>
      <c r="BT117" s="52" t="s">
        <v>332</v>
      </c>
    </row>
    <row r="118" spans="1:72">
      <c r="A118" s="2">
        <v>209132</v>
      </c>
      <c r="B118" s="2" t="s">
        <v>323</v>
      </c>
      <c r="C118" s="2" t="s">
        <v>331</v>
      </c>
      <c r="D118" s="2" t="s">
        <v>429</v>
      </c>
      <c r="E118" s="2">
        <v>2800</v>
      </c>
      <c r="F118" s="5">
        <v>52.77</v>
      </c>
      <c r="G118" s="5">
        <v>0.51</v>
      </c>
      <c r="H118" s="5">
        <v>13.42</v>
      </c>
      <c r="I118" s="5">
        <v>9.75</v>
      </c>
      <c r="J118" s="5">
        <v>0.16</v>
      </c>
      <c r="K118" s="5">
        <v>8.98</v>
      </c>
      <c r="L118" s="5">
        <v>10.1</v>
      </c>
      <c r="M118" s="5">
        <v>1.83</v>
      </c>
      <c r="N118" s="5">
        <v>0.2</v>
      </c>
      <c r="O118" s="5">
        <v>0.06</v>
      </c>
      <c r="P118" s="5">
        <v>2.93</v>
      </c>
      <c r="Q118" s="5">
        <f t="shared" si="8"/>
        <v>97.78</v>
      </c>
      <c r="R118" s="5">
        <f t="shared" si="9"/>
        <v>64.594975747145128</v>
      </c>
      <c r="S118" s="5">
        <f t="shared" si="10"/>
        <v>3056.6796043570803</v>
      </c>
      <c r="T118" s="5"/>
      <c r="U118" s="5"/>
      <c r="V118" s="5"/>
      <c r="W118" s="5">
        <v>281</v>
      </c>
      <c r="X118" s="5">
        <v>440</v>
      </c>
      <c r="Y118" s="5">
        <v>40</v>
      </c>
      <c r="Z118" s="5">
        <v>134</v>
      </c>
      <c r="AA118" s="5"/>
      <c r="AB118" s="5"/>
      <c r="AC118" s="5"/>
      <c r="AD118" s="5">
        <v>8</v>
      </c>
      <c r="AE118" s="5">
        <v>86.2</v>
      </c>
      <c r="AF118" s="5">
        <v>15.8</v>
      </c>
      <c r="AG118" s="5">
        <v>42</v>
      </c>
      <c r="AH118" s="5">
        <v>1.1000000000000001</v>
      </c>
      <c r="AI118" s="5"/>
      <c r="AJ118" s="5">
        <v>0.15</v>
      </c>
      <c r="AK118" s="5">
        <v>42.4</v>
      </c>
      <c r="AL118" s="5">
        <v>2.8</v>
      </c>
      <c r="AM118" s="5">
        <v>5.8</v>
      </c>
      <c r="AN118" s="5">
        <v>0.72</v>
      </c>
      <c r="AO118" s="5">
        <v>3.4</v>
      </c>
      <c r="AP118" s="5"/>
      <c r="AQ118" s="5">
        <v>0.46</v>
      </c>
      <c r="AR118" s="5">
        <v>2</v>
      </c>
      <c r="AS118" s="5">
        <v>0.37</v>
      </c>
      <c r="AT118" s="5">
        <v>2.64</v>
      </c>
      <c r="AU118" s="5">
        <v>0.57999999999999996</v>
      </c>
      <c r="AV118" s="5">
        <v>1.7</v>
      </c>
      <c r="AW118" s="5">
        <v>0.27</v>
      </c>
      <c r="AX118" s="5">
        <v>1.8</v>
      </c>
      <c r="AY118" s="5">
        <v>0.26</v>
      </c>
      <c r="AZ118" s="5">
        <v>1.1000000000000001</v>
      </c>
      <c r="BA118" s="5"/>
      <c r="BB118" s="5"/>
      <c r="BC118" s="5"/>
      <c r="BD118" s="5">
        <v>0.74</v>
      </c>
      <c r="BE118" s="5"/>
      <c r="BF118" s="5">
        <v>4.6100000000000003</v>
      </c>
      <c r="BG118" s="5">
        <v>22.8</v>
      </c>
      <c r="BH118" s="5">
        <v>0.37853135644159502</v>
      </c>
      <c r="BI118" s="5">
        <f t="shared" si="11"/>
        <v>54.831562499999997</v>
      </c>
      <c r="BJ118" s="5">
        <v>26.313725490196099</v>
      </c>
      <c r="BK118" s="5">
        <f t="shared" si="14"/>
        <v>1.1157993436474449</v>
      </c>
      <c r="BL118" s="5">
        <v>0.91916734252500698</v>
      </c>
      <c r="BM118" s="98">
        <v>1257.8979605842401</v>
      </c>
      <c r="BN118" s="5">
        <v>0.86345674550969698</v>
      </c>
      <c r="BO118" s="6">
        <v>1.6479999999998201</v>
      </c>
      <c r="BP118" s="6">
        <f t="shared" si="13"/>
        <v>1.5933826982036989</v>
      </c>
      <c r="BQ118" s="6"/>
      <c r="BR118" s="6"/>
      <c r="BS118" s="2" t="s">
        <v>295</v>
      </c>
      <c r="BT118" s="52" t="s">
        <v>332</v>
      </c>
    </row>
    <row r="119" spans="1:72">
      <c r="A119" s="2">
        <v>209134</v>
      </c>
      <c r="B119" s="2" t="s">
        <v>323</v>
      </c>
      <c r="C119" s="2" t="s">
        <v>331</v>
      </c>
      <c r="D119" s="2" t="s">
        <v>429</v>
      </c>
      <c r="E119" s="2">
        <v>2800</v>
      </c>
      <c r="F119" s="5">
        <v>51.24</v>
      </c>
      <c r="G119" s="5">
        <v>0.44</v>
      </c>
      <c r="H119" s="5">
        <v>11.54</v>
      </c>
      <c r="I119" s="5">
        <v>9.9700000000000006</v>
      </c>
      <c r="J119" s="5">
        <v>0.15</v>
      </c>
      <c r="K119" s="5">
        <v>13.2</v>
      </c>
      <c r="L119" s="5">
        <v>9.06</v>
      </c>
      <c r="M119" s="5">
        <v>0.64</v>
      </c>
      <c r="N119" s="5">
        <v>0.26</v>
      </c>
      <c r="O119" s="5">
        <v>0.05</v>
      </c>
      <c r="P119" s="5">
        <v>3.74</v>
      </c>
      <c r="Q119" s="5">
        <f t="shared" si="8"/>
        <v>96.550000000000011</v>
      </c>
      <c r="R119" s="5">
        <f t="shared" si="9"/>
        <v>72.395923733509207</v>
      </c>
      <c r="S119" s="5">
        <f t="shared" si="10"/>
        <v>2637.1353449355202</v>
      </c>
      <c r="T119" s="5"/>
      <c r="U119" s="5"/>
      <c r="V119" s="5"/>
      <c r="W119" s="5">
        <v>214</v>
      </c>
      <c r="X119" s="5">
        <v>1200</v>
      </c>
      <c r="Y119" s="5">
        <v>51</v>
      </c>
      <c r="Z119" s="5">
        <v>314</v>
      </c>
      <c r="AA119" s="5"/>
      <c r="AB119" s="5"/>
      <c r="AC119" s="5"/>
      <c r="AD119" s="5">
        <v>10.6</v>
      </c>
      <c r="AE119" s="5">
        <v>63.9</v>
      </c>
      <c r="AF119" s="5">
        <v>13.9</v>
      </c>
      <c r="AG119" s="5">
        <v>34</v>
      </c>
      <c r="AH119" s="5">
        <v>0.9</v>
      </c>
      <c r="AI119" s="5"/>
      <c r="AJ119" s="5">
        <v>0.81</v>
      </c>
      <c r="AK119" s="5">
        <v>35.799999999999997</v>
      </c>
      <c r="AL119" s="5">
        <v>2.4</v>
      </c>
      <c r="AM119" s="5">
        <v>4.8</v>
      </c>
      <c r="AN119" s="5">
        <v>0.63</v>
      </c>
      <c r="AO119" s="5">
        <v>2.8</v>
      </c>
      <c r="AP119" s="5"/>
      <c r="AQ119" s="5">
        <v>0.4</v>
      </c>
      <c r="AR119" s="5">
        <v>1.72</v>
      </c>
      <c r="AS119" s="5">
        <v>0.32</v>
      </c>
      <c r="AT119" s="5">
        <v>2.3199999999999998</v>
      </c>
      <c r="AU119" s="5">
        <v>0.54</v>
      </c>
      <c r="AV119" s="5">
        <v>1.55</v>
      </c>
      <c r="AW119" s="5">
        <v>0.24</v>
      </c>
      <c r="AX119" s="5">
        <v>1.55</v>
      </c>
      <c r="AY119" s="5">
        <v>0.24</v>
      </c>
      <c r="AZ119" s="5">
        <v>0.9</v>
      </c>
      <c r="BA119" s="5"/>
      <c r="BB119" s="5"/>
      <c r="BC119" s="5"/>
      <c r="BD119" s="5">
        <v>0.62</v>
      </c>
      <c r="BE119" s="5"/>
      <c r="BF119" s="5">
        <v>4.12</v>
      </c>
      <c r="BG119" s="5">
        <v>19.510000000000002</v>
      </c>
      <c r="BH119" s="5">
        <v>0.36132538569424999</v>
      </c>
      <c r="BI119" s="5">
        <f t="shared" si="11"/>
        <v>59.806706666666678</v>
      </c>
      <c r="BJ119" s="5">
        <v>26.227272727272702</v>
      </c>
      <c r="BK119" s="5">
        <f t="shared" si="14"/>
        <v>1.1106574111882401</v>
      </c>
      <c r="BL119" s="5">
        <v>0.91798132014755496</v>
      </c>
      <c r="BM119" s="98">
        <v>1260.7594365743701</v>
      </c>
      <c r="BN119" s="5">
        <v>0.793286562752608</v>
      </c>
      <c r="BO119" s="6">
        <v>0.82899999999989105</v>
      </c>
      <c r="BP119" s="6">
        <f t="shared" si="13"/>
        <v>0.74631462510093427</v>
      </c>
      <c r="BQ119" s="6"/>
      <c r="BR119" s="6"/>
      <c r="BS119" s="2" t="s">
        <v>295</v>
      </c>
      <c r="BT119" s="52" t="s">
        <v>332</v>
      </c>
    </row>
    <row r="120" spans="1:72">
      <c r="A120" s="2">
        <v>209135</v>
      </c>
      <c r="B120" s="2" t="s">
        <v>323</v>
      </c>
      <c r="C120" s="2" t="s">
        <v>331</v>
      </c>
      <c r="D120" s="2" t="s">
        <v>429</v>
      </c>
      <c r="E120" s="2">
        <v>2800</v>
      </c>
      <c r="F120" s="5">
        <v>50.47</v>
      </c>
      <c r="G120" s="5">
        <v>0.44</v>
      </c>
      <c r="H120" s="5">
        <v>11.54</v>
      </c>
      <c r="I120" s="5">
        <v>10.24</v>
      </c>
      <c r="J120" s="5">
        <v>0.15</v>
      </c>
      <c r="K120" s="5">
        <v>13.8</v>
      </c>
      <c r="L120" s="5">
        <v>8.2899999999999991</v>
      </c>
      <c r="M120" s="5">
        <v>0.97</v>
      </c>
      <c r="N120" s="5">
        <v>0.25</v>
      </c>
      <c r="O120" s="5">
        <v>0.05</v>
      </c>
      <c r="P120" s="5">
        <v>4.05</v>
      </c>
      <c r="Q120" s="5">
        <f t="shared" ref="Q120:Q168" si="15">SUM(F120:G120,H120,I120,J120,K120,L120,M120,N120,O120)</f>
        <v>96.2</v>
      </c>
      <c r="R120" s="5">
        <f t="shared" ref="R120:R168" si="16">(K120/40.31)/(K120/40.31+I120*2/159.7)*100</f>
        <v>72.748847894018141</v>
      </c>
      <c r="S120" s="5">
        <f t="shared" ref="S120:S168" si="17">G120*47.87*10000/79.87</f>
        <v>2637.1353449355202</v>
      </c>
      <c r="T120" s="5"/>
      <c r="U120" s="5"/>
      <c r="V120" s="5"/>
      <c r="W120" s="5">
        <v>217</v>
      </c>
      <c r="X120" s="5">
        <v>1270</v>
      </c>
      <c r="Y120" s="5">
        <v>52</v>
      </c>
      <c r="Z120" s="5">
        <v>313</v>
      </c>
      <c r="AA120" s="5"/>
      <c r="AB120" s="5"/>
      <c r="AC120" s="5"/>
      <c r="AD120" s="5">
        <v>10.199999999999999</v>
      </c>
      <c r="AE120" s="5">
        <v>47.4</v>
      </c>
      <c r="AF120" s="5">
        <v>14.1</v>
      </c>
      <c r="AG120" s="5">
        <v>35</v>
      </c>
      <c r="AH120" s="5">
        <v>1</v>
      </c>
      <c r="AI120" s="5"/>
      <c r="AJ120" s="5">
        <v>1.2</v>
      </c>
      <c r="AK120" s="5">
        <v>37.200000000000003</v>
      </c>
      <c r="AL120" s="5">
        <v>2.4</v>
      </c>
      <c r="AM120" s="5">
        <v>4.9000000000000004</v>
      </c>
      <c r="AN120" s="5">
        <v>0.61</v>
      </c>
      <c r="AO120" s="5">
        <v>2.8</v>
      </c>
      <c r="AP120" s="5"/>
      <c r="AQ120" s="5">
        <v>0.4</v>
      </c>
      <c r="AR120" s="5">
        <v>1.69</v>
      </c>
      <c r="AS120" s="5">
        <v>0.33</v>
      </c>
      <c r="AT120" s="5">
        <v>2.25</v>
      </c>
      <c r="AU120" s="5">
        <v>0.52</v>
      </c>
      <c r="AV120" s="5">
        <v>1.61</v>
      </c>
      <c r="AW120" s="5">
        <v>0.25</v>
      </c>
      <c r="AX120" s="5">
        <v>1.52</v>
      </c>
      <c r="AY120" s="5">
        <v>0.23</v>
      </c>
      <c r="AZ120" s="5">
        <v>0.9</v>
      </c>
      <c r="BA120" s="5"/>
      <c r="BB120" s="5"/>
      <c r="BC120" s="5"/>
      <c r="BD120" s="5">
        <v>0.6</v>
      </c>
      <c r="BE120" s="5"/>
      <c r="BF120" s="5">
        <v>4.13</v>
      </c>
      <c r="BG120" s="5">
        <v>19.510000000000002</v>
      </c>
      <c r="BH120" s="5">
        <v>0.401472650771388</v>
      </c>
      <c r="BI120" s="5">
        <f t="shared" si="11"/>
        <v>61.426346666666674</v>
      </c>
      <c r="BJ120" s="5">
        <v>26.227272727272702</v>
      </c>
      <c r="BK120" s="5">
        <f t="shared" si="14"/>
        <v>1.1325782811459029</v>
      </c>
      <c r="BL120" s="5">
        <v>0.91977205788193095</v>
      </c>
      <c r="BM120" s="98">
        <v>1271.5690914920399</v>
      </c>
      <c r="BN120" s="5">
        <v>0.93165442972971402</v>
      </c>
      <c r="BO120" s="6">
        <v>0.75799999999989098</v>
      </c>
      <c r="BP120" s="6">
        <f t="shared" si="13"/>
        <v>0.73066177189177661</v>
      </c>
      <c r="BQ120" s="6"/>
      <c r="BR120" s="6"/>
      <c r="BS120" s="2" t="s">
        <v>295</v>
      </c>
      <c r="BT120" s="52" t="s">
        <v>332</v>
      </c>
    </row>
    <row r="121" spans="1:72">
      <c r="A121" s="2">
        <v>209142</v>
      </c>
      <c r="B121" s="2" t="s">
        <v>323</v>
      </c>
      <c r="C121" s="2" t="s">
        <v>331</v>
      </c>
      <c r="D121" s="2" t="s">
        <v>429</v>
      </c>
      <c r="E121" s="2">
        <v>2800</v>
      </c>
      <c r="F121" s="5">
        <v>50.59</v>
      </c>
      <c r="G121" s="5">
        <v>0.38</v>
      </c>
      <c r="H121" s="5">
        <v>9.61</v>
      </c>
      <c r="I121" s="5">
        <v>9.92</v>
      </c>
      <c r="J121" s="5">
        <v>0.17</v>
      </c>
      <c r="K121" s="5">
        <v>16.55</v>
      </c>
      <c r="L121" s="5">
        <v>7.88</v>
      </c>
      <c r="M121" s="5">
        <v>0.53</v>
      </c>
      <c r="N121" s="5">
        <v>0.08</v>
      </c>
      <c r="O121" s="5">
        <v>0.04</v>
      </c>
      <c r="P121" s="5">
        <v>4.33</v>
      </c>
      <c r="Q121" s="5">
        <f t="shared" si="15"/>
        <v>95.75</v>
      </c>
      <c r="R121" s="5">
        <f t="shared" si="16"/>
        <v>76.770251204155798</v>
      </c>
      <c r="S121" s="5">
        <f t="shared" si="17"/>
        <v>2277.5259797170402</v>
      </c>
      <c r="T121" s="5"/>
      <c r="U121" s="5"/>
      <c r="V121" s="5"/>
      <c r="W121" s="5">
        <v>225</v>
      </c>
      <c r="X121" s="5">
        <v>1980</v>
      </c>
      <c r="Y121" s="5">
        <v>58</v>
      </c>
      <c r="Z121" s="5">
        <v>513</v>
      </c>
      <c r="AA121" s="5"/>
      <c r="AB121" s="5"/>
      <c r="AC121" s="5"/>
      <c r="AD121" s="5">
        <v>3.1</v>
      </c>
      <c r="AE121" s="5">
        <v>22</v>
      </c>
      <c r="AF121" s="5">
        <v>11.6</v>
      </c>
      <c r="AG121" s="5">
        <v>30</v>
      </c>
      <c r="AH121" s="5">
        <v>0.6</v>
      </c>
      <c r="AI121" s="5"/>
      <c r="AJ121" s="5">
        <v>0.52</v>
      </c>
      <c r="AK121" s="5">
        <v>129.5</v>
      </c>
      <c r="AL121" s="5">
        <v>2.1</v>
      </c>
      <c r="AM121" s="5">
        <v>4.4000000000000004</v>
      </c>
      <c r="AN121" s="5">
        <v>0.56000000000000005</v>
      </c>
      <c r="AO121" s="5">
        <v>2.6</v>
      </c>
      <c r="AP121" s="5"/>
      <c r="AQ121" s="5">
        <v>0.34</v>
      </c>
      <c r="AR121" s="5">
        <v>1.45</v>
      </c>
      <c r="AS121" s="5">
        <v>0.27</v>
      </c>
      <c r="AT121" s="5">
        <v>1.97</v>
      </c>
      <c r="AU121" s="5">
        <v>0.45</v>
      </c>
      <c r="AV121" s="5">
        <v>1.29</v>
      </c>
      <c r="AW121" s="5">
        <v>0.21</v>
      </c>
      <c r="AX121" s="5">
        <v>1.29</v>
      </c>
      <c r="AY121" s="5">
        <v>0.2</v>
      </c>
      <c r="AZ121" s="5">
        <v>0.9</v>
      </c>
      <c r="BA121" s="5"/>
      <c r="BB121" s="5"/>
      <c r="BC121" s="5"/>
      <c r="BD121" s="5">
        <v>0.54</v>
      </c>
      <c r="BE121" s="5"/>
      <c r="BF121" s="5">
        <v>3.44</v>
      </c>
      <c r="BG121" s="5">
        <v>17.13</v>
      </c>
      <c r="BH121" s="5">
        <v>0.27529553195752399</v>
      </c>
      <c r="BI121" s="5">
        <f t="shared" si="11"/>
        <v>52.505976470588237</v>
      </c>
      <c r="BJ121" s="5">
        <v>25.289473684210499</v>
      </c>
      <c r="BK121" s="5">
        <f t="shared" si="14"/>
        <v>1.1676969875380239</v>
      </c>
      <c r="BL121" s="5">
        <v>0.92985533487994898</v>
      </c>
      <c r="BM121" s="98">
        <v>1258.5375705921599</v>
      </c>
      <c r="BN121" s="5">
        <v>0.75000507339056299</v>
      </c>
      <c r="BO121" s="6"/>
      <c r="BP121" s="6"/>
      <c r="BQ121" s="6"/>
      <c r="BR121" s="6"/>
      <c r="BS121" s="2" t="s">
        <v>295</v>
      </c>
      <c r="BT121" s="52" t="s">
        <v>332</v>
      </c>
    </row>
    <row r="122" spans="1:72">
      <c r="A122" s="2">
        <v>209149</v>
      </c>
      <c r="B122" s="2" t="s">
        <v>323</v>
      </c>
      <c r="C122" s="2" t="s">
        <v>331</v>
      </c>
      <c r="D122" s="2" t="s">
        <v>429</v>
      </c>
      <c r="E122" s="2">
        <v>2800</v>
      </c>
      <c r="F122" s="5">
        <v>51.16</v>
      </c>
      <c r="G122" s="5">
        <v>0.45</v>
      </c>
      <c r="H122" s="5">
        <v>11.55</v>
      </c>
      <c r="I122" s="5">
        <v>10.1</v>
      </c>
      <c r="J122" s="5">
        <v>0.17</v>
      </c>
      <c r="K122" s="5">
        <v>13.78</v>
      </c>
      <c r="L122" s="5">
        <v>8.98</v>
      </c>
      <c r="M122" s="5">
        <v>1.03</v>
      </c>
      <c r="N122" s="5">
        <v>0.12</v>
      </c>
      <c r="O122" s="5">
        <v>4.4999999999999998E-2</v>
      </c>
      <c r="P122" s="5">
        <v>2.69</v>
      </c>
      <c r="Q122" s="5">
        <f t="shared" si="15"/>
        <v>97.385000000000005</v>
      </c>
      <c r="R122" s="5">
        <f t="shared" si="16"/>
        <v>72.992323531440874</v>
      </c>
      <c r="S122" s="5">
        <f t="shared" si="17"/>
        <v>2697.0702391385998</v>
      </c>
      <c r="T122" s="5"/>
      <c r="U122" s="5"/>
      <c r="V122" s="5"/>
      <c r="W122" s="5">
        <v>229</v>
      </c>
      <c r="X122" s="5">
        <v>1137</v>
      </c>
      <c r="Y122" s="5">
        <v>54</v>
      </c>
      <c r="Z122" s="5">
        <v>339</v>
      </c>
      <c r="AA122" s="5"/>
      <c r="AB122" s="5"/>
      <c r="AC122" s="5"/>
      <c r="AD122" s="5">
        <v>5.8</v>
      </c>
      <c r="AE122" s="5">
        <v>28.6</v>
      </c>
      <c r="AF122" s="5">
        <v>12.6</v>
      </c>
      <c r="AG122" s="5">
        <v>32</v>
      </c>
      <c r="AH122" s="5">
        <v>0.9</v>
      </c>
      <c r="AI122" s="5"/>
      <c r="AJ122" s="5">
        <v>1.8</v>
      </c>
      <c r="AK122" s="5">
        <v>41.3</v>
      </c>
      <c r="AL122" s="5">
        <v>2.2000000000000002</v>
      </c>
      <c r="AM122" s="5">
        <v>4.8</v>
      </c>
      <c r="AN122" s="5">
        <v>0.6</v>
      </c>
      <c r="AO122" s="5">
        <v>3.3</v>
      </c>
      <c r="AP122" s="5"/>
      <c r="AQ122" s="5">
        <v>0.4</v>
      </c>
      <c r="AR122" s="5">
        <v>1.3</v>
      </c>
      <c r="AS122" s="5">
        <v>0.3</v>
      </c>
      <c r="AT122" s="5">
        <v>2.2999999999999998</v>
      </c>
      <c r="AU122" s="5">
        <v>0.5</v>
      </c>
      <c r="AV122" s="5">
        <v>1.5</v>
      </c>
      <c r="AW122" s="5">
        <v>0.2</v>
      </c>
      <c r="AX122" s="5">
        <v>1.7</v>
      </c>
      <c r="AY122" s="5">
        <v>0.3</v>
      </c>
      <c r="AZ122" s="5">
        <v>0.9</v>
      </c>
      <c r="BA122" s="5"/>
      <c r="BB122" s="5"/>
      <c r="BC122" s="5"/>
      <c r="BD122" s="5">
        <v>0.6</v>
      </c>
      <c r="BE122" s="5"/>
      <c r="BF122" s="5">
        <v>4.2</v>
      </c>
      <c r="BG122" s="5">
        <v>19.399999999999999</v>
      </c>
      <c r="BH122" s="5">
        <v>0.39417314803009101</v>
      </c>
      <c r="BI122" s="5">
        <f t="shared" si="11"/>
        <v>53.458705882352938</v>
      </c>
      <c r="BJ122" s="5">
        <v>25.6666666666667</v>
      </c>
      <c r="BK122" s="5">
        <f t="shared" si="14"/>
        <v>0.92827004219409304</v>
      </c>
      <c r="BL122" s="5">
        <v>0.63260340632603396</v>
      </c>
      <c r="BM122" s="98">
        <v>1265.3976251305101</v>
      </c>
      <c r="BN122" s="5">
        <v>0.88082581493276102</v>
      </c>
      <c r="BO122" s="6">
        <v>0.98499999999989196</v>
      </c>
      <c r="BP122" s="6">
        <f>(BN122-1)*0.4+BO122</f>
        <v>0.93733032597299637</v>
      </c>
      <c r="BQ122" s="6"/>
      <c r="BR122" s="6"/>
      <c r="BS122" s="2" t="s">
        <v>295</v>
      </c>
      <c r="BT122" s="52" t="s">
        <v>332</v>
      </c>
    </row>
    <row r="123" spans="1:72">
      <c r="A123" s="2">
        <v>209150</v>
      </c>
      <c r="B123" s="2" t="s">
        <v>323</v>
      </c>
      <c r="C123" s="2" t="s">
        <v>331</v>
      </c>
      <c r="D123" s="2" t="s">
        <v>429</v>
      </c>
      <c r="E123" s="2">
        <v>2800</v>
      </c>
      <c r="F123" s="5">
        <v>51.18</v>
      </c>
      <c r="G123" s="5">
        <v>0.45</v>
      </c>
      <c r="H123" s="5">
        <v>11.52</v>
      </c>
      <c r="I123" s="5">
        <v>10.029999999999999</v>
      </c>
      <c r="J123" s="5">
        <v>0.16</v>
      </c>
      <c r="K123" s="5">
        <v>13.77</v>
      </c>
      <c r="L123" s="5">
        <v>9.1199999999999992</v>
      </c>
      <c r="M123" s="5">
        <v>0.94</v>
      </c>
      <c r="N123" s="5">
        <v>0.12</v>
      </c>
      <c r="O123" s="5">
        <v>4.5999999999999999E-2</v>
      </c>
      <c r="P123" s="5">
        <v>2.44</v>
      </c>
      <c r="Q123" s="5">
        <f t="shared" si="15"/>
        <v>97.336000000000013</v>
      </c>
      <c r="R123" s="5">
        <f t="shared" si="16"/>
        <v>73.114940527732998</v>
      </c>
      <c r="S123" s="5">
        <f t="shared" si="17"/>
        <v>2697.0702391385998</v>
      </c>
      <c r="T123" s="5"/>
      <c r="U123" s="5"/>
      <c r="V123" s="5"/>
      <c r="W123" s="5">
        <v>229</v>
      </c>
      <c r="X123" s="5">
        <v>1141</v>
      </c>
      <c r="Y123" s="5">
        <v>54</v>
      </c>
      <c r="Z123" s="5">
        <v>330</v>
      </c>
      <c r="AA123" s="5"/>
      <c r="AB123" s="5"/>
      <c r="AC123" s="5"/>
      <c r="AD123" s="5">
        <v>5.9</v>
      </c>
      <c r="AE123" s="5">
        <v>32</v>
      </c>
      <c r="AF123" s="5">
        <v>13.4</v>
      </c>
      <c r="AG123" s="5">
        <v>34</v>
      </c>
      <c r="AH123" s="5">
        <v>1</v>
      </c>
      <c r="AI123" s="5"/>
      <c r="AJ123" s="5">
        <v>1.4</v>
      </c>
      <c r="AK123" s="5">
        <v>26.4</v>
      </c>
      <c r="AL123" s="5">
        <v>2.2000000000000002</v>
      </c>
      <c r="AM123" s="5">
        <v>4.8</v>
      </c>
      <c r="AN123" s="5">
        <v>0.7</v>
      </c>
      <c r="AO123" s="5">
        <v>3.4</v>
      </c>
      <c r="AP123" s="5"/>
      <c r="AQ123" s="5">
        <v>0.3</v>
      </c>
      <c r="AR123" s="5">
        <v>1.7</v>
      </c>
      <c r="AS123" s="5">
        <v>0.3</v>
      </c>
      <c r="AT123" s="5">
        <v>2</v>
      </c>
      <c r="AU123" s="5">
        <v>0.5</v>
      </c>
      <c r="AV123" s="5">
        <v>1.6</v>
      </c>
      <c r="AW123" s="5">
        <v>0.2</v>
      </c>
      <c r="AX123" s="5">
        <v>1.5</v>
      </c>
      <c r="AY123" s="5">
        <v>0.2</v>
      </c>
      <c r="AZ123" s="5">
        <v>1</v>
      </c>
      <c r="BA123" s="5"/>
      <c r="BB123" s="5"/>
      <c r="BC123" s="5"/>
      <c r="BD123" s="5">
        <v>0.7</v>
      </c>
      <c r="BE123" s="5"/>
      <c r="BF123" s="5">
        <v>4</v>
      </c>
      <c r="BG123" s="5">
        <v>19.399999999999999</v>
      </c>
      <c r="BH123" s="5">
        <v>0.43797016447787801</v>
      </c>
      <c r="BI123" s="5">
        <f t="shared" si="11"/>
        <v>56.406212499999995</v>
      </c>
      <c r="BJ123" s="5">
        <v>25.6</v>
      </c>
      <c r="BK123" s="5">
        <f t="shared" si="14"/>
        <v>1.0520393811533053</v>
      </c>
      <c r="BL123" s="5">
        <v>0.93755068937550701</v>
      </c>
      <c r="BM123" s="98">
        <v>1264.9600193983099</v>
      </c>
      <c r="BN123" s="5">
        <v>0.86480528724439498</v>
      </c>
      <c r="BO123" s="6">
        <v>0.98999999999989197</v>
      </c>
      <c r="BP123" s="6">
        <f>(BN123-1)*0.4+BO123</f>
        <v>0.93592211489764998</v>
      </c>
      <c r="BQ123" s="6"/>
      <c r="BR123" s="6"/>
      <c r="BS123" s="2" t="s">
        <v>295</v>
      </c>
      <c r="BT123" s="52" t="s">
        <v>332</v>
      </c>
    </row>
    <row r="124" spans="1:72">
      <c r="A124" s="2">
        <v>209152</v>
      </c>
      <c r="B124" s="2" t="s">
        <v>323</v>
      </c>
      <c r="C124" s="2" t="s">
        <v>331</v>
      </c>
      <c r="D124" s="2" t="s">
        <v>429</v>
      </c>
      <c r="E124" s="2">
        <v>2800</v>
      </c>
      <c r="F124" s="5">
        <v>52.49</v>
      </c>
      <c r="G124" s="5">
        <v>0.38</v>
      </c>
      <c r="H124" s="5">
        <v>9.7799999999999994</v>
      </c>
      <c r="I124" s="5">
        <v>9.9600000000000009</v>
      </c>
      <c r="J124" s="5">
        <v>0.15</v>
      </c>
      <c r="K124" s="5">
        <v>16.78</v>
      </c>
      <c r="L124" s="5">
        <v>7.32</v>
      </c>
      <c r="M124" s="5">
        <v>0.72</v>
      </c>
      <c r="N124" s="5">
        <v>0.17</v>
      </c>
      <c r="O124" s="5">
        <v>3.6999999999999998E-2</v>
      </c>
      <c r="P124" s="5">
        <v>1.85</v>
      </c>
      <c r="Q124" s="5">
        <f t="shared" si="15"/>
        <v>97.78700000000002</v>
      </c>
      <c r="R124" s="5">
        <f t="shared" si="16"/>
        <v>76.944161110793999</v>
      </c>
      <c r="S124" s="5">
        <f t="shared" si="17"/>
        <v>2277.5259797170402</v>
      </c>
      <c r="T124" s="5"/>
      <c r="U124" s="5"/>
      <c r="V124" s="5"/>
      <c r="W124" s="5">
        <v>204</v>
      </c>
      <c r="X124" s="5">
        <v>1622</v>
      </c>
      <c r="Y124" s="5">
        <v>57</v>
      </c>
      <c r="Z124" s="5">
        <v>366</v>
      </c>
      <c r="AA124" s="5"/>
      <c r="AB124" s="5"/>
      <c r="AC124" s="5"/>
      <c r="AD124" s="5">
        <v>7.5</v>
      </c>
      <c r="AE124" s="5">
        <v>21.5</v>
      </c>
      <c r="AF124" s="5">
        <v>10.7</v>
      </c>
      <c r="AG124" s="5">
        <v>26</v>
      </c>
      <c r="AH124" s="5">
        <v>0.9</v>
      </c>
      <c r="AI124" s="5"/>
      <c r="AJ124" s="5">
        <v>1.2</v>
      </c>
      <c r="AK124" s="5">
        <v>40.9</v>
      </c>
      <c r="AL124" s="5">
        <v>1.9</v>
      </c>
      <c r="AM124" s="5">
        <v>4</v>
      </c>
      <c r="AN124" s="5">
        <v>0.5</v>
      </c>
      <c r="AO124" s="5">
        <v>1.6</v>
      </c>
      <c r="AP124" s="5"/>
      <c r="AQ124" s="5">
        <v>0.5</v>
      </c>
      <c r="AR124" s="5">
        <v>1.3</v>
      </c>
      <c r="AS124" s="5">
        <v>0.3</v>
      </c>
      <c r="AT124" s="5">
        <v>1.7</v>
      </c>
      <c r="AU124" s="5">
        <v>0.4</v>
      </c>
      <c r="AV124" s="5">
        <v>1.1000000000000001</v>
      </c>
      <c r="AW124" s="5">
        <v>0.2</v>
      </c>
      <c r="AX124" s="5">
        <v>1.4</v>
      </c>
      <c r="AY124" s="5">
        <v>0.2</v>
      </c>
      <c r="AZ124" s="5">
        <v>0.8</v>
      </c>
      <c r="BA124" s="5"/>
      <c r="BB124" s="5"/>
      <c r="BC124" s="5"/>
      <c r="BD124" s="5">
        <v>0.4</v>
      </c>
      <c r="BE124" s="5"/>
      <c r="BF124" s="5">
        <v>3.3</v>
      </c>
      <c r="BG124" s="5">
        <v>15.1</v>
      </c>
      <c r="BH124" s="5">
        <v>0.45641101350852598</v>
      </c>
      <c r="BI124" s="5">
        <f t="shared" si="11"/>
        <v>59.74672000000001</v>
      </c>
      <c r="BJ124" s="5">
        <v>25.7368421052632</v>
      </c>
      <c r="BK124" s="5">
        <f t="shared" si="14"/>
        <v>0.97347799879445462</v>
      </c>
      <c r="BL124" s="5">
        <v>0.76816127911018395</v>
      </c>
      <c r="BM124" s="98">
        <v>1250.00212651586</v>
      </c>
      <c r="BN124" s="5">
        <v>0.66964765397961201</v>
      </c>
      <c r="BO124" s="6"/>
      <c r="BP124" s="6"/>
      <c r="BQ124" s="6"/>
      <c r="BR124" s="6"/>
      <c r="BS124" s="2" t="s">
        <v>295</v>
      </c>
      <c r="BT124" s="52" t="s">
        <v>332</v>
      </c>
    </row>
    <row r="125" spans="1:72">
      <c r="A125" s="2">
        <v>209160</v>
      </c>
      <c r="B125" s="2" t="s">
        <v>323</v>
      </c>
      <c r="C125" s="2" t="s">
        <v>331</v>
      </c>
      <c r="D125" s="2" t="s">
        <v>429</v>
      </c>
      <c r="E125" s="2">
        <v>2800</v>
      </c>
      <c r="F125" s="5">
        <v>50.72</v>
      </c>
      <c r="G125" s="5">
        <v>0.44</v>
      </c>
      <c r="H125" s="5">
        <v>11.26</v>
      </c>
      <c r="I125" s="5">
        <v>10.210000000000001</v>
      </c>
      <c r="J125" s="5">
        <v>0.17</v>
      </c>
      <c r="K125" s="5">
        <v>14.3</v>
      </c>
      <c r="L125" s="5">
        <v>8.73</v>
      </c>
      <c r="M125" s="5">
        <v>1.58</v>
      </c>
      <c r="N125" s="5">
        <v>0.11</v>
      </c>
      <c r="O125" s="5">
        <v>0.05</v>
      </c>
      <c r="P125" s="5">
        <v>3.06</v>
      </c>
      <c r="Q125" s="5">
        <f t="shared" si="15"/>
        <v>97.57</v>
      </c>
      <c r="R125" s="5">
        <f t="shared" si="16"/>
        <v>73.505872622608649</v>
      </c>
      <c r="S125" s="5">
        <f t="shared" si="17"/>
        <v>2637.1353449355202</v>
      </c>
      <c r="T125" s="5"/>
      <c r="U125" s="5"/>
      <c r="V125" s="5"/>
      <c r="W125" s="5">
        <v>218</v>
      </c>
      <c r="X125" s="5">
        <v>1440</v>
      </c>
      <c r="Y125" s="5">
        <v>53</v>
      </c>
      <c r="Z125" s="5">
        <v>340</v>
      </c>
      <c r="AA125" s="5"/>
      <c r="AB125" s="5"/>
      <c r="AC125" s="5"/>
      <c r="AD125" s="5">
        <v>2.5</v>
      </c>
      <c r="AE125" s="5">
        <v>37</v>
      </c>
      <c r="AF125" s="5">
        <v>15.1</v>
      </c>
      <c r="AG125" s="5">
        <v>37</v>
      </c>
      <c r="AH125" s="5">
        <v>1.1000000000000001</v>
      </c>
      <c r="AI125" s="5"/>
      <c r="AJ125" s="5">
        <v>0.35</v>
      </c>
      <c r="AK125" s="5">
        <v>73.5</v>
      </c>
      <c r="AL125" s="5">
        <v>2.5</v>
      </c>
      <c r="AM125" s="5">
        <v>5</v>
      </c>
      <c r="AN125" s="5">
        <v>0.66</v>
      </c>
      <c r="AO125" s="5">
        <v>3.1</v>
      </c>
      <c r="AP125" s="5"/>
      <c r="AQ125" s="5">
        <v>0.4</v>
      </c>
      <c r="AR125" s="5">
        <v>1.83</v>
      </c>
      <c r="AS125" s="5">
        <v>0.34</v>
      </c>
      <c r="AT125" s="5">
        <v>2.4300000000000002</v>
      </c>
      <c r="AU125" s="5">
        <v>0.55000000000000004</v>
      </c>
      <c r="AV125" s="5">
        <v>1.68</v>
      </c>
      <c r="AW125" s="5">
        <v>0.26</v>
      </c>
      <c r="AX125" s="5">
        <v>1.63</v>
      </c>
      <c r="AY125" s="5">
        <v>0.25</v>
      </c>
      <c r="AZ125" s="5">
        <v>1</v>
      </c>
      <c r="BA125" s="5"/>
      <c r="BB125" s="5"/>
      <c r="BC125" s="5"/>
      <c r="BD125" s="5">
        <v>0.66</v>
      </c>
      <c r="BE125" s="5"/>
      <c r="BF125" s="5">
        <v>4.37</v>
      </c>
      <c r="BG125" s="5">
        <v>20.63</v>
      </c>
      <c r="BH125" s="5">
        <v>0.42395511921458601</v>
      </c>
      <c r="BI125" s="5">
        <f t="shared" ref="BI125:BI168" si="18">I125*0.8998/J125</f>
        <v>54.040929411764708</v>
      </c>
      <c r="BJ125" s="5">
        <v>25.590909090909101</v>
      </c>
      <c r="BK125" s="5">
        <f t="shared" si="14"/>
        <v>1.100152727084466</v>
      </c>
      <c r="BL125" s="5">
        <v>0.92875375039183194</v>
      </c>
      <c r="BM125" s="98">
        <v>1271.18787475165</v>
      </c>
      <c r="BN125" s="5">
        <v>1.0164967788192101</v>
      </c>
      <c r="BO125" s="6">
        <v>0.776999999999891</v>
      </c>
      <c r="BP125" s="6">
        <f>(BN125-1)*0.4+BO125</f>
        <v>0.78359871152757499</v>
      </c>
      <c r="BQ125" s="6"/>
      <c r="BR125" s="6"/>
      <c r="BS125" s="2" t="s">
        <v>295</v>
      </c>
      <c r="BT125" s="52" t="s">
        <v>332</v>
      </c>
    </row>
    <row r="126" spans="1:72">
      <c r="A126" s="2">
        <v>209162</v>
      </c>
      <c r="B126" s="2" t="s">
        <v>323</v>
      </c>
      <c r="C126" s="2" t="s">
        <v>331</v>
      </c>
      <c r="D126" s="2" t="s">
        <v>429</v>
      </c>
      <c r="E126" s="2">
        <v>2800</v>
      </c>
      <c r="F126" s="5">
        <v>51</v>
      </c>
      <c r="G126" s="5">
        <v>0.44</v>
      </c>
      <c r="H126" s="5">
        <v>11.76</v>
      </c>
      <c r="I126" s="5">
        <v>9.51</v>
      </c>
      <c r="J126" s="5">
        <v>0.18</v>
      </c>
      <c r="K126" s="5">
        <v>11.5</v>
      </c>
      <c r="L126" s="5">
        <v>9.07</v>
      </c>
      <c r="M126" s="5">
        <v>1.5</v>
      </c>
      <c r="N126" s="5">
        <v>0.08</v>
      </c>
      <c r="O126" s="5">
        <v>0.05</v>
      </c>
      <c r="P126" s="5">
        <v>4.3</v>
      </c>
      <c r="Q126" s="5">
        <f t="shared" si="15"/>
        <v>95.09</v>
      </c>
      <c r="R126" s="5">
        <f t="shared" si="16"/>
        <v>70.548456000819286</v>
      </c>
      <c r="S126" s="5">
        <f t="shared" si="17"/>
        <v>2637.1353449355202</v>
      </c>
      <c r="T126" s="5"/>
      <c r="U126" s="5"/>
      <c r="V126" s="5"/>
      <c r="W126" s="5">
        <v>269</v>
      </c>
      <c r="X126" s="5">
        <v>1500</v>
      </c>
      <c r="Y126" s="5">
        <v>55</v>
      </c>
      <c r="Z126" s="5">
        <v>377</v>
      </c>
      <c r="AA126" s="5"/>
      <c r="AB126" s="5"/>
      <c r="AC126" s="5"/>
      <c r="AD126" s="5">
        <v>2.5</v>
      </c>
      <c r="AE126" s="5">
        <v>33.4</v>
      </c>
      <c r="AF126" s="5">
        <v>15.1</v>
      </c>
      <c r="AG126" s="5">
        <v>39</v>
      </c>
      <c r="AH126" s="5">
        <v>1.1000000000000001</v>
      </c>
      <c r="AI126" s="5"/>
      <c r="AJ126" s="5">
        <v>0.54</v>
      </c>
      <c r="AK126" s="5">
        <v>24.1</v>
      </c>
      <c r="AL126" s="5">
        <v>2.7</v>
      </c>
      <c r="AM126" s="5">
        <v>5.3</v>
      </c>
      <c r="AN126" s="5">
        <v>0.68</v>
      </c>
      <c r="AO126" s="5">
        <v>3.3</v>
      </c>
      <c r="AP126" s="5"/>
      <c r="AQ126" s="5">
        <v>0.42</v>
      </c>
      <c r="AR126" s="5">
        <v>1.98</v>
      </c>
      <c r="AS126" s="5">
        <v>0.36</v>
      </c>
      <c r="AT126" s="5">
        <v>2.5</v>
      </c>
      <c r="AU126" s="5">
        <v>0.57999999999999996</v>
      </c>
      <c r="AV126" s="5">
        <v>1.67</v>
      </c>
      <c r="AW126" s="5">
        <v>0.28999999999999998</v>
      </c>
      <c r="AX126" s="5">
        <v>1.72</v>
      </c>
      <c r="AY126" s="5">
        <v>0.26</v>
      </c>
      <c r="AZ126" s="5">
        <v>1.1000000000000001</v>
      </c>
      <c r="BA126" s="5"/>
      <c r="BB126" s="5"/>
      <c r="BC126" s="5"/>
      <c r="BD126" s="5">
        <v>0.7</v>
      </c>
      <c r="BE126" s="5"/>
      <c r="BF126" s="5">
        <v>4.5199999999999996</v>
      </c>
      <c r="BG126" s="5">
        <v>21.76</v>
      </c>
      <c r="BH126" s="5">
        <v>0.39255103630980198</v>
      </c>
      <c r="BI126" s="5">
        <f t="shared" si="18"/>
        <v>47.539433333333335</v>
      </c>
      <c r="BJ126" s="5">
        <v>26.727272727272702</v>
      </c>
      <c r="BK126" s="5">
        <f t="shared" si="14"/>
        <v>1.1259935236973804</v>
      </c>
      <c r="BL126" s="5">
        <v>0.95230011882532695</v>
      </c>
      <c r="BM126" s="98">
        <v>1250.9686166561</v>
      </c>
      <c r="BN126" s="5">
        <v>0.81127467170629297</v>
      </c>
      <c r="BO126" s="6">
        <v>1.7359999999998099</v>
      </c>
      <c r="BP126" s="6">
        <f>(BN126-1)*0.4+BO126</f>
        <v>1.6605098686823272</v>
      </c>
      <c r="BQ126" s="6"/>
      <c r="BR126" s="6"/>
      <c r="BS126" s="2" t="s">
        <v>295</v>
      </c>
      <c r="BT126" s="52" t="s">
        <v>332</v>
      </c>
    </row>
    <row r="127" spans="1:72">
      <c r="A127" s="2">
        <v>209178</v>
      </c>
      <c r="B127" s="2" t="s">
        <v>323</v>
      </c>
      <c r="C127" s="2" t="s">
        <v>331</v>
      </c>
      <c r="D127" s="2" t="s">
        <v>429</v>
      </c>
      <c r="E127" s="2">
        <v>2800</v>
      </c>
      <c r="F127" s="5">
        <v>53.44</v>
      </c>
      <c r="G127" s="5">
        <v>0.51</v>
      </c>
      <c r="H127" s="5">
        <v>12.85</v>
      </c>
      <c r="I127" s="5">
        <v>9.93</v>
      </c>
      <c r="J127" s="5">
        <v>0.14000000000000001</v>
      </c>
      <c r="K127" s="5">
        <v>10.6</v>
      </c>
      <c r="L127" s="5">
        <v>9.19</v>
      </c>
      <c r="M127" s="5">
        <v>1.72</v>
      </c>
      <c r="N127" s="5">
        <v>0.08</v>
      </c>
      <c r="O127" s="5">
        <v>0.05</v>
      </c>
      <c r="P127" s="5">
        <v>2.11</v>
      </c>
      <c r="Q127" s="5">
        <f t="shared" si="15"/>
        <v>98.509999999999977</v>
      </c>
      <c r="R127" s="5">
        <f t="shared" si="16"/>
        <v>67.892672129833898</v>
      </c>
      <c r="S127" s="5">
        <f t="shared" si="17"/>
        <v>3056.6796043570803</v>
      </c>
      <c r="T127" s="5"/>
      <c r="U127" s="5"/>
      <c r="V127" s="5"/>
      <c r="W127" s="5">
        <v>279</v>
      </c>
      <c r="X127" s="5">
        <v>660</v>
      </c>
      <c r="Y127" s="5">
        <v>45</v>
      </c>
      <c r="Z127" s="5">
        <v>164</v>
      </c>
      <c r="AA127" s="5"/>
      <c r="AB127" s="5"/>
      <c r="AC127" s="5"/>
      <c r="AD127" s="5">
        <v>2.6</v>
      </c>
      <c r="AE127" s="5">
        <v>40.4</v>
      </c>
      <c r="AF127" s="5">
        <v>14.9</v>
      </c>
      <c r="AG127" s="5">
        <v>44</v>
      </c>
      <c r="AH127" s="5">
        <v>1</v>
      </c>
      <c r="AI127" s="5"/>
      <c r="AJ127" s="5">
        <v>0.28999999999999998</v>
      </c>
      <c r="AK127" s="5">
        <v>45.5</v>
      </c>
      <c r="AL127" s="5">
        <v>2.5</v>
      </c>
      <c r="AM127" s="5">
        <v>5.6</v>
      </c>
      <c r="AN127" s="5">
        <v>0.7</v>
      </c>
      <c r="AO127" s="5">
        <v>3</v>
      </c>
      <c r="AP127" s="5"/>
      <c r="AQ127" s="5">
        <v>0.39</v>
      </c>
      <c r="AR127" s="5">
        <v>1.66</v>
      </c>
      <c r="AS127" s="5">
        <v>0.35</v>
      </c>
      <c r="AT127" s="5">
        <v>2.4</v>
      </c>
      <c r="AU127" s="5">
        <v>0.61</v>
      </c>
      <c r="AV127" s="5">
        <v>1.74</v>
      </c>
      <c r="AW127" s="5">
        <v>0.28000000000000003</v>
      </c>
      <c r="AX127" s="5">
        <v>1.61</v>
      </c>
      <c r="AY127" s="5">
        <v>0.24</v>
      </c>
      <c r="AZ127" s="5">
        <v>1.2</v>
      </c>
      <c r="BA127" s="5"/>
      <c r="BB127" s="5"/>
      <c r="BC127" s="5"/>
      <c r="BD127" s="5">
        <v>0.68</v>
      </c>
      <c r="BE127" s="5"/>
      <c r="BF127" s="5">
        <v>4.4800000000000004</v>
      </c>
      <c r="BG127" s="5">
        <v>21.08</v>
      </c>
      <c r="BH127" s="5">
        <v>0.38541374474053303</v>
      </c>
      <c r="BI127" s="5">
        <f t="shared" si="18"/>
        <v>63.821528571428573</v>
      </c>
      <c r="BJ127" s="5">
        <v>25.196078431372499</v>
      </c>
      <c r="BK127" s="5">
        <f t="shared" si="14"/>
        <v>1.1138192205886206</v>
      </c>
      <c r="BL127" s="5">
        <v>0.85294162095177595</v>
      </c>
      <c r="BM127" s="98">
        <v>1255.37165033202</v>
      </c>
      <c r="BN127" s="5">
        <v>0.79563721750431504</v>
      </c>
      <c r="BO127" s="6">
        <v>1.6529999999998199</v>
      </c>
      <c r="BP127" s="6">
        <f>(BN127-1)*0.4+BO127</f>
        <v>1.5712548870015459</v>
      </c>
      <c r="BQ127" s="6"/>
      <c r="BR127" s="6"/>
      <c r="BS127" s="2" t="s">
        <v>295</v>
      </c>
      <c r="BT127" s="52" t="s">
        <v>332</v>
      </c>
    </row>
    <row r="128" spans="1:72">
      <c r="A128" s="2">
        <v>209179</v>
      </c>
      <c r="B128" s="2" t="s">
        <v>323</v>
      </c>
      <c r="C128" s="2" t="s">
        <v>331</v>
      </c>
      <c r="D128" s="2" t="s">
        <v>429</v>
      </c>
      <c r="E128" s="2">
        <v>2800</v>
      </c>
      <c r="F128" s="5">
        <v>53.87</v>
      </c>
      <c r="G128" s="5">
        <v>0.52</v>
      </c>
      <c r="H128" s="5">
        <v>13.21</v>
      </c>
      <c r="I128" s="5">
        <v>9.5500000000000007</v>
      </c>
      <c r="J128" s="5">
        <v>0.14000000000000001</v>
      </c>
      <c r="K128" s="5">
        <v>9.99</v>
      </c>
      <c r="L128" s="5">
        <v>9.64</v>
      </c>
      <c r="M128" s="5">
        <v>1.57</v>
      </c>
      <c r="N128" s="5">
        <v>0.08</v>
      </c>
      <c r="O128" s="5">
        <v>0.05</v>
      </c>
      <c r="P128" s="5">
        <v>1.9</v>
      </c>
      <c r="Q128" s="5">
        <f t="shared" si="15"/>
        <v>98.619999999999976</v>
      </c>
      <c r="R128" s="5">
        <f t="shared" si="16"/>
        <v>67.44966017340542</v>
      </c>
      <c r="S128" s="5">
        <f t="shared" si="17"/>
        <v>3116.6144985601595</v>
      </c>
      <c r="T128" s="5"/>
      <c r="U128" s="5"/>
      <c r="V128" s="5"/>
      <c r="W128" s="5">
        <v>279</v>
      </c>
      <c r="X128" s="5">
        <v>580</v>
      </c>
      <c r="Y128" s="5">
        <v>40</v>
      </c>
      <c r="Z128" s="5">
        <v>146</v>
      </c>
      <c r="AA128" s="5"/>
      <c r="AB128" s="5"/>
      <c r="AC128" s="5"/>
      <c r="AD128" s="5">
        <v>1.8</v>
      </c>
      <c r="AE128" s="5">
        <v>48.9</v>
      </c>
      <c r="AF128" s="5">
        <v>15</v>
      </c>
      <c r="AG128" s="5">
        <v>40</v>
      </c>
      <c r="AH128" s="5">
        <v>1</v>
      </c>
      <c r="AI128" s="5"/>
      <c r="AJ128" s="5">
        <v>0.18</v>
      </c>
      <c r="AK128" s="5">
        <v>43.8</v>
      </c>
      <c r="AL128" s="5">
        <v>2.4</v>
      </c>
      <c r="AM128" s="5">
        <v>5.6</v>
      </c>
      <c r="AN128" s="5">
        <v>0.74</v>
      </c>
      <c r="AO128" s="5">
        <v>3.3</v>
      </c>
      <c r="AP128" s="5"/>
      <c r="AQ128" s="5">
        <v>0.47</v>
      </c>
      <c r="AR128" s="5">
        <v>1.8</v>
      </c>
      <c r="AS128" s="5">
        <v>0.4</v>
      </c>
      <c r="AT128" s="5">
        <v>2.42</v>
      </c>
      <c r="AU128" s="5">
        <v>0.56000000000000005</v>
      </c>
      <c r="AV128" s="5">
        <v>1.85</v>
      </c>
      <c r="AW128" s="5">
        <v>0.26</v>
      </c>
      <c r="AX128" s="5">
        <v>1.86</v>
      </c>
      <c r="AY128" s="5">
        <v>0.28999999999999998</v>
      </c>
      <c r="AZ128" s="5">
        <v>1.1000000000000001</v>
      </c>
      <c r="BA128" s="5"/>
      <c r="BB128" s="5"/>
      <c r="BC128" s="5"/>
      <c r="BD128" s="5">
        <v>0.7</v>
      </c>
      <c r="BE128" s="5"/>
      <c r="BF128" s="5">
        <v>4.82</v>
      </c>
      <c r="BG128" s="5">
        <v>21.95</v>
      </c>
      <c r="BH128" s="5">
        <v>0.401472650771388</v>
      </c>
      <c r="BI128" s="5">
        <f t="shared" si="18"/>
        <v>61.379214285714291</v>
      </c>
      <c r="BJ128" s="5">
        <v>25.403846153846199</v>
      </c>
      <c r="BK128" s="5">
        <f t="shared" si="14"/>
        <v>0.92554784265686674</v>
      </c>
      <c r="BL128" s="5">
        <v>0.80056510477984499</v>
      </c>
      <c r="BM128" s="98">
        <v>1242.6566142942299</v>
      </c>
      <c r="BN128" s="5">
        <v>0.70251592259315798</v>
      </c>
      <c r="BO128" s="6">
        <v>1.7719999999998099</v>
      </c>
      <c r="BP128" s="6">
        <f>(BN128-1)*0.4+BO128</f>
        <v>1.6530063690370731</v>
      </c>
      <c r="BQ128" s="6"/>
      <c r="BR128" s="6"/>
      <c r="BS128" s="2" t="s">
        <v>295</v>
      </c>
      <c r="BT128" s="52" t="s">
        <v>332</v>
      </c>
    </row>
    <row r="129" spans="1:72">
      <c r="A129" s="2">
        <v>209196</v>
      </c>
      <c r="B129" s="2" t="s">
        <v>323</v>
      </c>
      <c r="C129" s="2" t="s">
        <v>331</v>
      </c>
      <c r="D129" s="2" t="s">
        <v>429</v>
      </c>
      <c r="E129" s="2">
        <v>2800</v>
      </c>
      <c r="F129" s="5">
        <v>50.51</v>
      </c>
      <c r="G129" s="5">
        <v>0.42</v>
      </c>
      <c r="H129" s="5">
        <v>10.54</v>
      </c>
      <c r="I129" s="5">
        <v>10.54</v>
      </c>
      <c r="J129" s="5">
        <v>0.16</v>
      </c>
      <c r="K129" s="5">
        <v>16.100000000000001</v>
      </c>
      <c r="L129" s="5">
        <v>8.11</v>
      </c>
      <c r="M129" s="5">
        <v>0.68</v>
      </c>
      <c r="N129" s="5">
        <v>0.2</v>
      </c>
      <c r="O129" s="5">
        <v>4.3999999999999997E-2</v>
      </c>
      <c r="P129" s="5">
        <v>2.62</v>
      </c>
      <c r="Q129" s="5">
        <f t="shared" si="15"/>
        <v>97.303999999999988</v>
      </c>
      <c r="R129" s="5">
        <f t="shared" si="16"/>
        <v>75.160524782800152</v>
      </c>
      <c r="S129" s="5">
        <f t="shared" si="17"/>
        <v>2517.2655565293599</v>
      </c>
      <c r="T129" s="5"/>
      <c r="U129" s="5"/>
      <c r="V129" s="5"/>
      <c r="W129" s="5">
        <v>234</v>
      </c>
      <c r="X129" s="5">
        <v>1651</v>
      </c>
      <c r="Y129" s="5">
        <v>60</v>
      </c>
      <c r="Z129" s="5">
        <v>435</v>
      </c>
      <c r="AA129" s="5"/>
      <c r="AB129" s="5"/>
      <c r="AC129" s="5"/>
      <c r="AD129" s="5">
        <v>9.9</v>
      </c>
      <c r="AE129" s="5">
        <v>36.6</v>
      </c>
      <c r="AF129" s="5">
        <v>12.9</v>
      </c>
      <c r="AG129" s="5">
        <v>34</v>
      </c>
      <c r="AH129" s="5">
        <v>1</v>
      </c>
      <c r="AI129" s="5"/>
      <c r="AJ129" s="5">
        <v>1.3</v>
      </c>
      <c r="AK129" s="5">
        <v>168.4</v>
      </c>
      <c r="AL129" s="5">
        <v>2.1</v>
      </c>
      <c r="AM129" s="5">
        <v>4.5999999999999996</v>
      </c>
      <c r="AN129" s="5">
        <v>0.7</v>
      </c>
      <c r="AO129" s="5">
        <v>2.6</v>
      </c>
      <c r="AP129" s="5"/>
      <c r="AQ129" s="5">
        <v>0.3</v>
      </c>
      <c r="AR129" s="5">
        <v>1.7</v>
      </c>
      <c r="AS129" s="5">
        <v>0.4</v>
      </c>
      <c r="AT129" s="5">
        <v>1.9</v>
      </c>
      <c r="AU129" s="5">
        <v>0.5</v>
      </c>
      <c r="AV129" s="5">
        <v>1.5</v>
      </c>
      <c r="AW129" s="5">
        <v>0.2</v>
      </c>
      <c r="AX129" s="5">
        <v>1.6</v>
      </c>
      <c r="AY129" s="5">
        <v>0.3</v>
      </c>
      <c r="AZ129" s="5">
        <v>1</v>
      </c>
      <c r="BA129" s="5"/>
      <c r="BB129" s="5"/>
      <c r="BC129" s="5"/>
      <c r="BD129" s="5">
        <v>0.5</v>
      </c>
      <c r="BE129" s="5"/>
      <c r="BF129" s="5">
        <v>4.0999999999999996</v>
      </c>
      <c r="BG129" s="5">
        <v>18.399999999999999</v>
      </c>
      <c r="BH129" s="5">
        <v>0.45882588659587298</v>
      </c>
      <c r="BI129" s="5">
        <f t="shared" si="18"/>
        <v>59.27432499999999</v>
      </c>
      <c r="BJ129" s="5">
        <v>25.095238095238098</v>
      </c>
      <c r="BK129" s="5">
        <f t="shared" si="14"/>
        <v>0.94145569620253178</v>
      </c>
      <c r="BL129" s="5">
        <v>0.878953771289538</v>
      </c>
      <c r="BM129" s="98">
        <v>1283.4726692583799</v>
      </c>
      <c r="BN129" s="5">
        <v>0.97381736720608403</v>
      </c>
      <c r="BO129" s="6">
        <v>0.92499999999989102</v>
      </c>
      <c r="BP129" s="6">
        <f>(BN129-1)*0.4+BO129</f>
        <v>0.91452694688232461</v>
      </c>
      <c r="BQ129" s="6"/>
      <c r="BR129" s="6"/>
      <c r="BS129" s="2" t="s">
        <v>295</v>
      </c>
      <c r="BT129" s="52" t="s">
        <v>332</v>
      </c>
    </row>
    <row r="130" spans="1:72">
      <c r="A130" s="2">
        <v>211105</v>
      </c>
      <c r="B130" s="2" t="s">
        <v>323</v>
      </c>
      <c r="C130" s="2" t="s">
        <v>331</v>
      </c>
      <c r="D130" s="2" t="s">
        <v>429</v>
      </c>
      <c r="E130" s="2">
        <v>2800</v>
      </c>
      <c r="F130" s="5">
        <v>51.9</v>
      </c>
      <c r="G130" s="5">
        <v>0.46</v>
      </c>
      <c r="H130" s="5">
        <v>11.85</v>
      </c>
      <c r="I130" s="5">
        <v>9.86</v>
      </c>
      <c r="J130" s="5">
        <v>0.16</v>
      </c>
      <c r="K130" s="5">
        <v>12.35</v>
      </c>
      <c r="L130" s="5">
        <v>8.9600000000000009</v>
      </c>
      <c r="M130" s="5">
        <v>1.33</v>
      </c>
      <c r="N130" s="5">
        <v>0.13</v>
      </c>
      <c r="O130" s="5">
        <v>0.03</v>
      </c>
      <c r="P130" s="5">
        <v>2.57</v>
      </c>
      <c r="Q130" s="5">
        <f t="shared" si="15"/>
        <v>97.029999999999987</v>
      </c>
      <c r="R130" s="5">
        <f t="shared" si="16"/>
        <v>71.273820307413089</v>
      </c>
      <c r="S130" s="5">
        <f t="shared" si="17"/>
        <v>2757.00513334168</v>
      </c>
      <c r="T130" s="5"/>
      <c r="U130" s="5"/>
      <c r="V130" s="5"/>
      <c r="W130" s="5">
        <v>255</v>
      </c>
      <c r="X130" s="5">
        <v>1030</v>
      </c>
      <c r="Y130" s="5">
        <v>48</v>
      </c>
      <c r="Z130" s="5">
        <v>263</v>
      </c>
      <c r="AA130" s="5"/>
      <c r="AB130" s="5"/>
      <c r="AC130" s="5"/>
      <c r="AD130" s="5">
        <v>4.2</v>
      </c>
      <c r="AE130" s="5">
        <v>60.7</v>
      </c>
      <c r="AF130" s="5">
        <v>14.5</v>
      </c>
      <c r="AG130" s="5">
        <v>34</v>
      </c>
      <c r="AH130" s="5">
        <v>1</v>
      </c>
      <c r="AI130" s="5"/>
      <c r="AJ130" s="5">
        <v>0.13</v>
      </c>
      <c r="AK130" s="5">
        <v>34.700000000000003</v>
      </c>
      <c r="AL130" s="5">
        <v>2.7</v>
      </c>
      <c r="AM130" s="5">
        <v>4.5</v>
      </c>
      <c r="AN130" s="5">
        <v>0.68</v>
      </c>
      <c r="AO130" s="5">
        <v>3</v>
      </c>
      <c r="AP130" s="5"/>
      <c r="AQ130" s="5">
        <v>0.42</v>
      </c>
      <c r="AR130" s="5">
        <v>1.91</v>
      </c>
      <c r="AS130" s="5">
        <v>0.38</v>
      </c>
      <c r="AT130" s="5">
        <v>2.4300000000000002</v>
      </c>
      <c r="AU130" s="5">
        <v>0.55000000000000004</v>
      </c>
      <c r="AV130" s="5">
        <v>1.69</v>
      </c>
      <c r="AW130" s="5">
        <v>0.24</v>
      </c>
      <c r="AX130" s="5">
        <v>1.49</v>
      </c>
      <c r="AY130" s="5">
        <v>0.24</v>
      </c>
      <c r="AZ130" s="5">
        <v>0.8</v>
      </c>
      <c r="BA130" s="5"/>
      <c r="BB130" s="5"/>
      <c r="BC130" s="5"/>
      <c r="BD130" s="5">
        <v>0.64</v>
      </c>
      <c r="BE130" s="5"/>
      <c r="BF130" s="5">
        <v>4.21</v>
      </c>
      <c r="BG130" s="5">
        <v>20.23</v>
      </c>
      <c r="BH130" s="5">
        <v>0.35686457846345598</v>
      </c>
      <c r="BI130" s="5">
        <f t="shared" si="18"/>
        <v>55.450175000000002</v>
      </c>
      <c r="BJ130" s="5">
        <v>25.760869565217401</v>
      </c>
      <c r="BK130" s="5">
        <f t="shared" si="14"/>
        <v>1.2998046045365732</v>
      </c>
      <c r="BL130" s="5">
        <v>1.06043534349026</v>
      </c>
      <c r="BM130" s="98">
        <v>1255.7343029337701</v>
      </c>
      <c r="BN130" s="5">
        <v>0.81155047864742302</v>
      </c>
      <c r="BO130" s="6"/>
      <c r="BP130" s="6"/>
      <c r="BQ130" s="6"/>
      <c r="BR130" s="6"/>
      <c r="BS130" s="2" t="s">
        <v>295</v>
      </c>
      <c r="BT130" s="52" t="s">
        <v>332</v>
      </c>
    </row>
    <row r="131" spans="1:72">
      <c r="A131" s="2">
        <v>211106</v>
      </c>
      <c r="B131" s="2" t="s">
        <v>323</v>
      </c>
      <c r="C131" s="2" t="s">
        <v>331</v>
      </c>
      <c r="D131" s="2" t="s">
        <v>429</v>
      </c>
      <c r="E131" s="2">
        <v>2800</v>
      </c>
      <c r="F131" s="5">
        <v>49.3</v>
      </c>
      <c r="G131" s="5">
        <v>0.42</v>
      </c>
      <c r="H131" s="5">
        <v>10.7</v>
      </c>
      <c r="I131" s="5">
        <v>10.11</v>
      </c>
      <c r="J131" s="5">
        <v>0.18</v>
      </c>
      <c r="K131" s="5">
        <v>14.45</v>
      </c>
      <c r="L131" s="5">
        <v>10.75</v>
      </c>
      <c r="M131" s="5">
        <v>1.1200000000000001</v>
      </c>
      <c r="N131" s="5">
        <v>0.06</v>
      </c>
      <c r="O131" s="5">
        <v>0.03</v>
      </c>
      <c r="P131" s="5">
        <v>2.38</v>
      </c>
      <c r="Q131" s="5">
        <f t="shared" si="15"/>
        <v>97.120000000000019</v>
      </c>
      <c r="R131" s="5">
        <f t="shared" si="16"/>
        <v>73.898884477226559</v>
      </c>
      <c r="S131" s="5">
        <f t="shared" si="17"/>
        <v>2517.2655565293599</v>
      </c>
      <c r="T131" s="5"/>
      <c r="U131" s="5"/>
      <c r="V131" s="5"/>
      <c r="W131" s="5">
        <v>205</v>
      </c>
      <c r="X131" s="5">
        <v>1230</v>
      </c>
      <c r="Y131" s="5">
        <v>60</v>
      </c>
      <c r="Z131" s="5">
        <v>429</v>
      </c>
      <c r="AA131" s="5"/>
      <c r="AB131" s="5"/>
      <c r="AC131" s="5"/>
      <c r="AD131" s="5">
        <v>1.7</v>
      </c>
      <c r="AE131" s="5">
        <v>74.599999999999994</v>
      </c>
      <c r="AF131" s="5">
        <v>12.6</v>
      </c>
      <c r="AG131" s="5">
        <v>28</v>
      </c>
      <c r="AH131" s="5">
        <v>0.8</v>
      </c>
      <c r="AI131" s="5"/>
      <c r="AJ131" s="5">
        <v>0.09</v>
      </c>
      <c r="AK131" s="5">
        <v>18.7</v>
      </c>
      <c r="AL131" s="5">
        <v>1.8</v>
      </c>
      <c r="AM131" s="5">
        <v>4</v>
      </c>
      <c r="AN131" s="5">
        <v>0.55000000000000004</v>
      </c>
      <c r="AO131" s="5">
        <v>2.5</v>
      </c>
      <c r="AP131" s="5"/>
      <c r="AQ131" s="5">
        <v>0.33</v>
      </c>
      <c r="AR131" s="5">
        <v>1.47</v>
      </c>
      <c r="AS131" s="5">
        <v>0.28999999999999998</v>
      </c>
      <c r="AT131" s="5">
        <v>2.0699999999999998</v>
      </c>
      <c r="AU131" s="5">
        <v>0.42</v>
      </c>
      <c r="AV131" s="5">
        <v>1.46</v>
      </c>
      <c r="AW131" s="5">
        <v>0.2</v>
      </c>
      <c r="AX131" s="5">
        <v>1.32</v>
      </c>
      <c r="AY131" s="5">
        <v>0.22</v>
      </c>
      <c r="AZ131" s="5">
        <v>0.9</v>
      </c>
      <c r="BA131" s="5"/>
      <c r="BB131" s="5"/>
      <c r="BC131" s="5"/>
      <c r="BD131" s="5">
        <v>0.51</v>
      </c>
      <c r="BE131" s="5"/>
      <c r="BF131" s="5">
        <v>3.62</v>
      </c>
      <c r="BG131" s="5">
        <v>16.63</v>
      </c>
      <c r="BH131" s="5">
        <v>0.42823749415614798</v>
      </c>
      <c r="BI131" s="5">
        <f t="shared" si="18"/>
        <v>50.538766666666668</v>
      </c>
      <c r="BJ131" s="5">
        <v>25.476190476190499</v>
      </c>
      <c r="BK131" s="5">
        <f t="shared" si="14"/>
        <v>0.97813578826237058</v>
      </c>
      <c r="BL131" s="5">
        <v>0.92125635921256399</v>
      </c>
      <c r="BM131" s="98">
        <v>1279.45755420664</v>
      </c>
      <c r="BN131" s="5">
        <v>1.0814280820941</v>
      </c>
      <c r="BO131" s="6">
        <v>0.522999999999891</v>
      </c>
      <c r="BP131" s="6">
        <f>(BN131-1)*0.4+BO131</f>
        <v>0.55557123283753096</v>
      </c>
      <c r="BQ131" s="6"/>
      <c r="BR131" s="6"/>
      <c r="BS131" s="2" t="s">
        <v>295</v>
      </c>
      <c r="BT131" s="52" t="s">
        <v>332</v>
      </c>
    </row>
    <row r="132" spans="1:72">
      <c r="A132" s="2">
        <v>211107</v>
      </c>
      <c r="B132" s="2" t="s">
        <v>323</v>
      </c>
      <c r="C132" s="2" t="s">
        <v>331</v>
      </c>
      <c r="D132" s="2" t="s">
        <v>429</v>
      </c>
      <c r="E132" s="2">
        <v>2800</v>
      </c>
      <c r="F132" s="5">
        <v>52.5</v>
      </c>
      <c r="G132" s="5">
        <v>0.48</v>
      </c>
      <c r="H132" s="5">
        <v>12.15</v>
      </c>
      <c r="I132" s="5">
        <v>9.91</v>
      </c>
      <c r="J132" s="5">
        <v>0.19</v>
      </c>
      <c r="K132" s="5">
        <v>10.25</v>
      </c>
      <c r="L132" s="5">
        <v>11.45</v>
      </c>
      <c r="M132" s="5">
        <v>1.08</v>
      </c>
      <c r="N132" s="5">
        <v>0.1</v>
      </c>
      <c r="O132" s="5">
        <v>0.04</v>
      </c>
      <c r="P132" s="5">
        <v>1.68</v>
      </c>
      <c r="Q132" s="5">
        <f t="shared" si="15"/>
        <v>98.149999999999991</v>
      </c>
      <c r="R132" s="5">
        <f t="shared" si="16"/>
        <v>67.200857911418225</v>
      </c>
      <c r="S132" s="5">
        <f t="shared" si="17"/>
        <v>2876.8749217478403</v>
      </c>
      <c r="T132" s="5"/>
      <c r="U132" s="5"/>
      <c r="V132" s="5"/>
      <c r="W132" s="5">
        <v>251</v>
      </c>
      <c r="X132" s="5">
        <v>950</v>
      </c>
      <c r="Y132" s="5">
        <v>51</v>
      </c>
      <c r="Z132" s="5">
        <v>244</v>
      </c>
      <c r="AA132" s="5"/>
      <c r="AB132" s="5"/>
      <c r="AC132" s="5"/>
      <c r="AD132" s="5">
        <v>2.6</v>
      </c>
      <c r="AE132" s="5">
        <v>55.9</v>
      </c>
      <c r="AF132" s="5">
        <v>13.6</v>
      </c>
      <c r="AG132" s="5">
        <v>36</v>
      </c>
      <c r="AH132" s="5">
        <v>0.9</v>
      </c>
      <c r="AI132" s="5"/>
      <c r="AJ132" s="5">
        <v>0.08</v>
      </c>
      <c r="AK132" s="5">
        <v>73.900000000000006</v>
      </c>
      <c r="AL132" s="5">
        <v>2</v>
      </c>
      <c r="AM132" s="5">
        <v>4.2</v>
      </c>
      <c r="AN132" s="5">
        <v>0.61</v>
      </c>
      <c r="AO132" s="5">
        <v>2.7</v>
      </c>
      <c r="AP132" s="5"/>
      <c r="AQ132" s="5">
        <v>0.38</v>
      </c>
      <c r="AR132" s="5">
        <v>1.67</v>
      </c>
      <c r="AS132" s="5">
        <v>0.36</v>
      </c>
      <c r="AT132" s="5">
        <v>2.36</v>
      </c>
      <c r="AU132" s="5">
        <v>0.52</v>
      </c>
      <c r="AV132" s="5">
        <v>1.64</v>
      </c>
      <c r="AW132" s="5">
        <v>0.25</v>
      </c>
      <c r="AX132" s="5">
        <v>1.5</v>
      </c>
      <c r="AY132" s="5">
        <v>0.23</v>
      </c>
      <c r="AZ132" s="5">
        <v>0.9</v>
      </c>
      <c r="BA132" s="5"/>
      <c r="BB132" s="5"/>
      <c r="BC132" s="5"/>
      <c r="BD132" s="5">
        <v>0.63</v>
      </c>
      <c r="BE132" s="5"/>
      <c r="BF132" s="5">
        <v>4.1399999999999997</v>
      </c>
      <c r="BG132" s="5">
        <v>18.420000000000002</v>
      </c>
      <c r="BH132" s="5">
        <v>0.43359046283309999</v>
      </c>
      <c r="BI132" s="5">
        <f t="shared" si="18"/>
        <v>46.93167368421053</v>
      </c>
      <c r="BJ132" s="5">
        <v>25.3125</v>
      </c>
      <c r="BK132" s="5">
        <f t="shared" si="14"/>
        <v>0.95639943741209577</v>
      </c>
      <c r="BL132" s="5">
        <v>0.92100567721005699</v>
      </c>
      <c r="BM132" s="98">
        <v>1262.66377342948</v>
      </c>
      <c r="BN132" s="5">
        <v>0.79701661429433301</v>
      </c>
      <c r="BO132" s="6"/>
      <c r="BP132" s="6"/>
      <c r="BQ132" s="6"/>
      <c r="BR132" s="6"/>
      <c r="BS132" s="2" t="s">
        <v>295</v>
      </c>
      <c r="BT132" s="52" t="s">
        <v>332</v>
      </c>
    </row>
    <row r="133" spans="1:72">
      <c r="A133" s="2">
        <v>217793</v>
      </c>
      <c r="B133" s="2" t="s">
        <v>323</v>
      </c>
      <c r="C133" s="2" t="s">
        <v>331</v>
      </c>
      <c r="D133" s="2" t="s">
        <v>429</v>
      </c>
      <c r="E133" s="2">
        <v>2800</v>
      </c>
      <c r="F133" s="5">
        <v>52.4</v>
      </c>
      <c r="G133" s="5">
        <v>0.54</v>
      </c>
      <c r="H133" s="5">
        <v>13.8</v>
      </c>
      <c r="I133" s="5">
        <v>9.66</v>
      </c>
      <c r="J133" s="5">
        <v>0.15</v>
      </c>
      <c r="K133" s="5">
        <v>8.7899999999999991</v>
      </c>
      <c r="L133" s="5">
        <v>10.6</v>
      </c>
      <c r="M133" s="5">
        <v>1.43</v>
      </c>
      <c r="N133" s="5">
        <v>0.12</v>
      </c>
      <c r="O133" s="5">
        <v>0.05</v>
      </c>
      <c r="P133" s="5">
        <v>2.39</v>
      </c>
      <c r="Q133" s="5">
        <f t="shared" si="15"/>
        <v>97.54</v>
      </c>
      <c r="R133" s="5">
        <f t="shared" si="16"/>
        <v>64.317499485235672</v>
      </c>
      <c r="S133" s="5">
        <f t="shared" si="17"/>
        <v>3236.4842869663203</v>
      </c>
      <c r="T133" s="5"/>
      <c r="U133" s="5"/>
      <c r="V133" s="5"/>
      <c r="W133" s="5">
        <v>279</v>
      </c>
      <c r="X133" s="5">
        <v>390</v>
      </c>
      <c r="Y133" s="5">
        <v>42</v>
      </c>
      <c r="Z133" s="5">
        <v>147</v>
      </c>
      <c r="AA133" s="5"/>
      <c r="AB133" s="5"/>
      <c r="AC133" s="5"/>
      <c r="AD133" s="5">
        <v>3.4</v>
      </c>
      <c r="AE133" s="5">
        <v>38.6</v>
      </c>
      <c r="AF133" s="5">
        <v>15.4</v>
      </c>
      <c r="AG133" s="5">
        <v>44</v>
      </c>
      <c r="AH133" s="5">
        <v>0.9</v>
      </c>
      <c r="AI133" s="5"/>
      <c r="AJ133" s="5">
        <v>0.17</v>
      </c>
      <c r="AK133" s="5">
        <v>16.899999999999999</v>
      </c>
      <c r="AL133" s="5">
        <v>2.7</v>
      </c>
      <c r="AM133" s="5">
        <v>5.9</v>
      </c>
      <c r="AN133" s="5">
        <v>0.77</v>
      </c>
      <c r="AO133" s="5">
        <v>3.6</v>
      </c>
      <c r="AP133" s="5"/>
      <c r="AQ133" s="5">
        <v>0.43</v>
      </c>
      <c r="AR133" s="5">
        <v>2.04</v>
      </c>
      <c r="AS133" s="5">
        <v>0.38</v>
      </c>
      <c r="AT133" s="5">
        <v>2.63</v>
      </c>
      <c r="AU133" s="5">
        <v>0.59</v>
      </c>
      <c r="AV133" s="5">
        <v>1.63</v>
      </c>
      <c r="AW133" s="5">
        <v>0.24</v>
      </c>
      <c r="AX133" s="5">
        <v>1.8</v>
      </c>
      <c r="AY133" s="5">
        <v>0.27</v>
      </c>
      <c r="AZ133" s="5">
        <v>1.1000000000000001</v>
      </c>
      <c r="BA133" s="5"/>
      <c r="BB133" s="5"/>
      <c r="BC133" s="5"/>
      <c r="BD133" s="5">
        <v>0.8</v>
      </c>
      <c r="BE133" s="5"/>
      <c r="BF133" s="5">
        <v>4.53</v>
      </c>
      <c r="BG133" s="5">
        <v>22.98</v>
      </c>
      <c r="BH133" s="5">
        <v>0.32117812061711098</v>
      </c>
      <c r="BI133" s="5">
        <f t="shared" si="18"/>
        <v>57.947120000000005</v>
      </c>
      <c r="BJ133" s="5">
        <v>25.5555555555556</v>
      </c>
      <c r="BK133" s="5">
        <f t="shared" si="14"/>
        <v>1.0759493670886078</v>
      </c>
      <c r="BL133" s="5">
        <v>0.93755068937550701</v>
      </c>
      <c r="BM133" s="98">
        <v>1254.8780374245</v>
      </c>
      <c r="BN133" s="5">
        <v>0.81528985136314502</v>
      </c>
      <c r="BO133" s="6">
        <v>1.60399999999983</v>
      </c>
      <c r="BP133" s="6">
        <f t="shared" ref="BP133:BP157" si="19">(BN133-1)*0.4+BO133</f>
        <v>1.5301159405450879</v>
      </c>
      <c r="BQ133" s="6"/>
      <c r="BR133" s="6"/>
      <c r="BS133" s="2" t="s">
        <v>295</v>
      </c>
      <c r="BT133" s="52" t="s">
        <v>332</v>
      </c>
    </row>
    <row r="134" spans="1:72">
      <c r="A134" s="2">
        <v>217794</v>
      </c>
      <c r="B134" s="2" t="s">
        <v>323</v>
      </c>
      <c r="C134" s="2" t="s">
        <v>331</v>
      </c>
      <c r="D134" s="2" t="s">
        <v>429</v>
      </c>
      <c r="E134" s="2">
        <v>2800</v>
      </c>
      <c r="F134" s="5">
        <v>52.3</v>
      </c>
      <c r="G134" s="5">
        <v>0.54</v>
      </c>
      <c r="H134" s="5">
        <v>13.8</v>
      </c>
      <c r="I134" s="5">
        <v>9.75</v>
      </c>
      <c r="J134" s="5">
        <v>0.15</v>
      </c>
      <c r="K134" s="5">
        <v>9.2899999999999991</v>
      </c>
      <c r="L134" s="5">
        <v>10.3</v>
      </c>
      <c r="M134" s="5">
        <v>1.3</v>
      </c>
      <c r="N134" s="5">
        <v>0.15</v>
      </c>
      <c r="O134" s="5">
        <v>0.05</v>
      </c>
      <c r="P134" s="5">
        <v>2.3199999999999998</v>
      </c>
      <c r="Q134" s="5">
        <f t="shared" si="15"/>
        <v>97.63000000000001</v>
      </c>
      <c r="R134" s="5">
        <f t="shared" si="16"/>
        <v>65.367249162649159</v>
      </c>
      <c r="S134" s="5">
        <f t="shared" si="17"/>
        <v>3236.4842869663203</v>
      </c>
      <c r="T134" s="5"/>
      <c r="U134" s="5"/>
      <c r="V134" s="5"/>
      <c r="W134" s="5">
        <v>289</v>
      </c>
      <c r="X134" s="5">
        <v>420</v>
      </c>
      <c r="Y134" s="5">
        <v>45</v>
      </c>
      <c r="Z134" s="5">
        <v>148</v>
      </c>
      <c r="AA134" s="5"/>
      <c r="AB134" s="5"/>
      <c r="AC134" s="5"/>
      <c r="AD134" s="5">
        <v>4.8</v>
      </c>
      <c r="AE134" s="5">
        <v>43.7</v>
      </c>
      <c r="AF134" s="5">
        <v>17.100000000000001</v>
      </c>
      <c r="AG134" s="5">
        <v>46</v>
      </c>
      <c r="AH134" s="5">
        <v>0.9</v>
      </c>
      <c r="AI134" s="5"/>
      <c r="AJ134" s="5">
        <v>0.15</v>
      </c>
      <c r="AK134" s="5">
        <v>37.5</v>
      </c>
      <c r="AL134" s="5">
        <v>2.8</v>
      </c>
      <c r="AM134" s="5">
        <v>6.5</v>
      </c>
      <c r="AN134" s="5">
        <v>0.87</v>
      </c>
      <c r="AO134" s="5">
        <v>4</v>
      </c>
      <c r="AP134" s="5"/>
      <c r="AQ134" s="5">
        <v>0.53</v>
      </c>
      <c r="AR134" s="5">
        <v>2.17</v>
      </c>
      <c r="AS134" s="5">
        <v>0.41</v>
      </c>
      <c r="AT134" s="5">
        <v>2.89</v>
      </c>
      <c r="AU134" s="5">
        <v>0.65</v>
      </c>
      <c r="AV134" s="5">
        <v>1.92</v>
      </c>
      <c r="AW134" s="5">
        <v>0.32</v>
      </c>
      <c r="AX134" s="5">
        <v>1.97</v>
      </c>
      <c r="AY134" s="5">
        <v>0.28999999999999998</v>
      </c>
      <c r="AZ134" s="5">
        <v>1.2</v>
      </c>
      <c r="BA134" s="5"/>
      <c r="BB134" s="5"/>
      <c r="BC134" s="5"/>
      <c r="BD134" s="5">
        <v>0.86</v>
      </c>
      <c r="BE134" s="5"/>
      <c r="BF134" s="5">
        <v>5.15</v>
      </c>
      <c r="BG134" s="5">
        <v>25.32</v>
      </c>
      <c r="BH134" s="5">
        <v>0.309707473452214</v>
      </c>
      <c r="BI134" s="5">
        <f t="shared" si="18"/>
        <v>58.487000000000002</v>
      </c>
      <c r="BJ134" s="5">
        <v>25.5555555555556</v>
      </c>
      <c r="BK134" s="5">
        <f t="shared" si="14"/>
        <v>1.0195120906423354</v>
      </c>
      <c r="BL134" s="5">
        <v>0.91123544159966396</v>
      </c>
      <c r="BM134" s="98">
        <v>1255.61126097028</v>
      </c>
      <c r="BN134" s="5">
        <v>0.81633383492534195</v>
      </c>
      <c r="BO134" s="6">
        <v>1.71699999999981</v>
      </c>
      <c r="BP134" s="6">
        <f t="shared" si="19"/>
        <v>1.6435335339699468</v>
      </c>
      <c r="BQ134" s="6"/>
      <c r="BR134" s="6"/>
      <c r="BS134" s="2" t="s">
        <v>295</v>
      </c>
      <c r="BT134" s="52" t="s">
        <v>332</v>
      </c>
    </row>
    <row r="135" spans="1:72">
      <c r="A135" s="2">
        <v>217795</v>
      </c>
      <c r="B135" s="2" t="s">
        <v>323</v>
      </c>
      <c r="C135" s="2" t="s">
        <v>331</v>
      </c>
      <c r="D135" s="2" t="s">
        <v>429</v>
      </c>
      <c r="E135" s="2">
        <v>2800</v>
      </c>
      <c r="F135" s="5">
        <v>51.3</v>
      </c>
      <c r="G135" s="5">
        <v>0.45</v>
      </c>
      <c r="H135" s="5">
        <v>11.15</v>
      </c>
      <c r="I135" s="5">
        <v>10.25</v>
      </c>
      <c r="J135" s="5">
        <v>0.14000000000000001</v>
      </c>
      <c r="K135" s="5">
        <v>15.25</v>
      </c>
      <c r="L135" s="5">
        <v>7.56</v>
      </c>
      <c r="M135" s="5">
        <v>0.91</v>
      </c>
      <c r="N135" s="5">
        <v>0.5</v>
      </c>
      <c r="O135" s="5">
        <v>0.04</v>
      </c>
      <c r="P135" s="5">
        <v>2.65</v>
      </c>
      <c r="Q135" s="5">
        <f t="shared" si="15"/>
        <v>97.550000000000011</v>
      </c>
      <c r="R135" s="5">
        <f t="shared" si="16"/>
        <v>74.665520053467731</v>
      </c>
      <c r="S135" s="5">
        <f t="shared" si="17"/>
        <v>2697.0702391385998</v>
      </c>
      <c r="T135" s="5"/>
      <c r="U135" s="5"/>
      <c r="V135" s="5"/>
      <c r="W135" s="5">
        <v>216</v>
      </c>
      <c r="X135" s="5">
        <v>1460</v>
      </c>
      <c r="Y135" s="5">
        <v>56</v>
      </c>
      <c r="Z135" s="5">
        <v>395</v>
      </c>
      <c r="AA135" s="5"/>
      <c r="AB135" s="5"/>
      <c r="AC135" s="5"/>
      <c r="AD135" s="5">
        <v>26</v>
      </c>
      <c r="AE135" s="5">
        <v>36.5</v>
      </c>
      <c r="AF135" s="5">
        <v>13.8</v>
      </c>
      <c r="AG135" s="5">
        <v>36</v>
      </c>
      <c r="AH135" s="5">
        <v>0.7</v>
      </c>
      <c r="AI135" s="5"/>
      <c r="AJ135" s="5">
        <v>1.1100000000000001</v>
      </c>
      <c r="AK135" s="5">
        <v>55.1</v>
      </c>
      <c r="AL135" s="5">
        <v>2.2000000000000002</v>
      </c>
      <c r="AM135" s="5">
        <v>4.9000000000000004</v>
      </c>
      <c r="AN135" s="5">
        <v>0.67</v>
      </c>
      <c r="AO135" s="5">
        <v>3.1</v>
      </c>
      <c r="AP135" s="5"/>
      <c r="AQ135" s="5">
        <v>0.43</v>
      </c>
      <c r="AR135" s="5">
        <v>1.68</v>
      </c>
      <c r="AS135" s="5">
        <v>0.32</v>
      </c>
      <c r="AT135" s="5">
        <v>2.2999999999999998</v>
      </c>
      <c r="AU135" s="5">
        <v>0.52</v>
      </c>
      <c r="AV135" s="5">
        <v>1.61</v>
      </c>
      <c r="AW135" s="5">
        <v>0.26</v>
      </c>
      <c r="AX135" s="5">
        <v>1.62</v>
      </c>
      <c r="AY135" s="5">
        <v>0.24</v>
      </c>
      <c r="AZ135" s="5">
        <v>0.9</v>
      </c>
      <c r="BA135" s="5"/>
      <c r="BB135" s="5"/>
      <c r="BC135" s="5"/>
      <c r="BD135" s="5">
        <v>0.69</v>
      </c>
      <c r="BE135" s="5"/>
      <c r="BF135" s="5">
        <v>4.25</v>
      </c>
      <c r="BG135" s="5">
        <v>19.850000000000001</v>
      </c>
      <c r="BH135" s="5">
        <v>0.30657911513451502</v>
      </c>
      <c r="BI135" s="5">
        <f t="shared" si="18"/>
        <v>65.878214285714279</v>
      </c>
      <c r="BJ135" s="5">
        <v>24.7777777777778</v>
      </c>
      <c r="BK135" s="5">
        <f t="shared" si="14"/>
        <v>0.97411053810491222</v>
      </c>
      <c r="BL135" s="5">
        <v>0.85788951969000604</v>
      </c>
      <c r="BM135" s="98">
        <v>1267.00188318344</v>
      </c>
      <c r="BN135" s="5">
        <v>0.90716943472784395</v>
      </c>
      <c r="BO135" s="6">
        <v>0.772999999999891</v>
      </c>
      <c r="BP135" s="6">
        <f t="shared" si="19"/>
        <v>0.73586777389102853</v>
      </c>
      <c r="BQ135" s="6"/>
      <c r="BR135" s="6"/>
      <c r="BS135" s="2" t="s">
        <v>295</v>
      </c>
      <c r="BT135" s="52" t="s">
        <v>332</v>
      </c>
    </row>
    <row r="136" spans="1:72">
      <c r="A136" s="2">
        <v>217797</v>
      </c>
      <c r="B136" s="2" t="s">
        <v>323</v>
      </c>
      <c r="C136" s="2" t="s">
        <v>331</v>
      </c>
      <c r="D136" s="2" t="s">
        <v>429</v>
      </c>
      <c r="E136" s="2">
        <v>2800</v>
      </c>
      <c r="F136" s="5">
        <v>50.6</v>
      </c>
      <c r="G136" s="5">
        <v>0.44</v>
      </c>
      <c r="H136" s="5">
        <v>11</v>
      </c>
      <c r="I136" s="5">
        <v>10.29</v>
      </c>
      <c r="J136" s="5">
        <v>0.16</v>
      </c>
      <c r="K136" s="5">
        <v>14.2</v>
      </c>
      <c r="L136" s="5">
        <v>8.48</v>
      </c>
      <c r="M136" s="5">
        <v>1.03</v>
      </c>
      <c r="N136" s="5">
        <v>0.1</v>
      </c>
      <c r="O136" s="5">
        <v>0.04</v>
      </c>
      <c r="P136" s="5">
        <v>3.31</v>
      </c>
      <c r="Q136" s="5">
        <f t="shared" si="15"/>
        <v>96.34</v>
      </c>
      <c r="R136" s="5">
        <f t="shared" si="16"/>
        <v>73.216204539163172</v>
      </c>
      <c r="S136" s="5">
        <f t="shared" si="17"/>
        <v>2637.1353449355202</v>
      </c>
      <c r="T136" s="5"/>
      <c r="U136" s="5"/>
      <c r="V136" s="5"/>
      <c r="W136" s="5">
        <v>208</v>
      </c>
      <c r="X136" s="5">
        <v>1370</v>
      </c>
      <c r="Y136" s="5">
        <v>51</v>
      </c>
      <c r="Z136" s="5">
        <v>363</v>
      </c>
      <c r="AA136" s="5"/>
      <c r="AB136" s="5"/>
      <c r="AC136" s="5"/>
      <c r="AD136" s="5">
        <v>2.2000000000000002</v>
      </c>
      <c r="AE136" s="5">
        <v>46.3</v>
      </c>
      <c r="AF136" s="5">
        <v>13.1</v>
      </c>
      <c r="AG136" s="5">
        <v>35</v>
      </c>
      <c r="AH136" s="5">
        <v>0.6</v>
      </c>
      <c r="AI136" s="5"/>
      <c r="AJ136" s="5">
        <v>0.2</v>
      </c>
      <c r="AK136" s="5">
        <v>95.6</v>
      </c>
      <c r="AL136" s="5">
        <v>2.1</v>
      </c>
      <c r="AM136" s="5">
        <v>4.8</v>
      </c>
      <c r="AN136" s="5">
        <v>0.67</v>
      </c>
      <c r="AO136" s="5">
        <v>2.9</v>
      </c>
      <c r="AP136" s="5"/>
      <c r="AQ136" s="5">
        <v>0.4</v>
      </c>
      <c r="AR136" s="5">
        <v>1.61</v>
      </c>
      <c r="AS136" s="5">
        <v>0.3</v>
      </c>
      <c r="AT136" s="5">
        <v>2.17</v>
      </c>
      <c r="AU136" s="5">
        <v>0.47</v>
      </c>
      <c r="AV136" s="5">
        <v>1.47</v>
      </c>
      <c r="AW136" s="5">
        <v>0.21</v>
      </c>
      <c r="AX136" s="5">
        <v>1.57</v>
      </c>
      <c r="AY136" s="5">
        <v>0.22</v>
      </c>
      <c r="AZ136" s="5">
        <v>0.9</v>
      </c>
      <c r="BA136" s="5"/>
      <c r="BB136" s="5"/>
      <c r="BC136" s="5"/>
      <c r="BD136" s="5">
        <v>0.66</v>
      </c>
      <c r="BE136" s="5"/>
      <c r="BF136" s="5">
        <v>3.94</v>
      </c>
      <c r="BG136" s="5">
        <v>18.89</v>
      </c>
      <c r="BH136" s="5">
        <v>0.27529553195752399</v>
      </c>
      <c r="BI136" s="5">
        <f t="shared" si="18"/>
        <v>57.868387499999997</v>
      </c>
      <c r="BJ136" s="5">
        <v>25</v>
      </c>
      <c r="BK136" s="5">
        <f t="shared" si="14"/>
        <v>0.95944529549302604</v>
      </c>
      <c r="BL136" s="5">
        <v>0.84832705689091403</v>
      </c>
      <c r="BM136" s="98">
        <v>1275.2559674348599</v>
      </c>
      <c r="BN136" s="5">
        <v>0.93065284387272096</v>
      </c>
      <c r="BO136" s="6">
        <v>0.57599999999989104</v>
      </c>
      <c r="BP136" s="6">
        <f t="shared" si="19"/>
        <v>0.54826113754897943</v>
      </c>
      <c r="BQ136" s="6"/>
      <c r="BR136" s="6"/>
      <c r="BS136" s="2" t="s">
        <v>295</v>
      </c>
      <c r="BT136" s="52" t="s">
        <v>332</v>
      </c>
    </row>
    <row r="137" spans="1:72">
      <c r="A137" s="2">
        <v>218847</v>
      </c>
      <c r="B137" s="2" t="s">
        <v>323</v>
      </c>
      <c r="C137" s="2" t="s">
        <v>331</v>
      </c>
      <c r="D137" s="2" t="s">
        <v>429</v>
      </c>
      <c r="E137" s="2">
        <v>2800</v>
      </c>
      <c r="F137" s="5">
        <v>51.12</v>
      </c>
      <c r="G137" s="5">
        <v>0.43</v>
      </c>
      <c r="H137" s="5">
        <v>10.98</v>
      </c>
      <c r="I137" s="5">
        <v>10.199999999999999</v>
      </c>
      <c r="J137" s="5">
        <v>0.16</v>
      </c>
      <c r="K137" s="5">
        <v>14.71</v>
      </c>
      <c r="L137" s="5">
        <v>8.66</v>
      </c>
      <c r="M137" s="5">
        <v>1.1000000000000001</v>
      </c>
      <c r="N137" s="5">
        <v>0.1</v>
      </c>
      <c r="O137" s="5">
        <v>4.4999999999999998E-2</v>
      </c>
      <c r="P137" s="5">
        <v>1.69</v>
      </c>
      <c r="Q137" s="5">
        <f t="shared" si="15"/>
        <v>97.504999999999981</v>
      </c>
      <c r="R137" s="5">
        <f t="shared" si="16"/>
        <v>74.071538771267072</v>
      </c>
      <c r="S137" s="5">
        <f t="shared" si="17"/>
        <v>2577.20045073244</v>
      </c>
      <c r="T137" s="5"/>
      <c r="U137" s="5"/>
      <c r="V137" s="5"/>
      <c r="W137" s="5">
        <v>227</v>
      </c>
      <c r="X137" s="5">
        <v>1362</v>
      </c>
      <c r="Y137" s="5">
        <v>60</v>
      </c>
      <c r="Z137" s="5">
        <v>356</v>
      </c>
      <c r="AA137" s="5"/>
      <c r="AB137" s="5"/>
      <c r="AC137" s="5"/>
      <c r="AD137" s="5">
        <v>4.5</v>
      </c>
      <c r="AE137" s="5">
        <v>64.900000000000006</v>
      </c>
      <c r="AF137" s="5">
        <v>13.7</v>
      </c>
      <c r="AG137" s="5">
        <v>29</v>
      </c>
      <c r="AH137" s="5">
        <v>1</v>
      </c>
      <c r="AI137" s="5"/>
      <c r="AJ137" s="5"/>
      <c r="AK137" s="5">
        <v>158.1</v>
      </c>
      <c r="AL137" s="5">
        <v>2.1</v>
      </c>
      <c r="AM137" s="5">
        <v>4.7</v>
      </c>
      <c r="AN137" s="5">
        <v>0.7</v>
      </c>
      <c r="AO137" s="5">
        <v>2.2999999999999998</v>
      </c>
      <c r="AP137" s="5"/>
      <c r="AQ137" s="5">
        <v>0.4</v>
      </c>
      <c r="AR137" s="5">
        <v>1.4</v>
      </c>
      <c r="AS137" s="5">
        <v>0.3</v>
      </c>
      <c r="AT137" s="5">
        <v>2.1</v>
      </c>
      <c r="AU137" s="5">
        <v>0.5</v>
      </c>
      <c r="AV137" s="5">
        <v>1.5</v>
      </c>
      <c r="AW137" s="5">
        <v>0.3</v>
      </c>
      <c r="AX137" s="5">
        <v>1.6</v>
      </c>
      <c r="AY137" s="5">
        <v>0.2</v>
      </c>
      <c r="AZ137" s="5">
        <v>1.1000000000000001</v>
      </c>
      <c r="BA137" s="5"/>
      <c r="BB137" s="5"/>
      <c r="BC137" s="5"/>
      <c r="BD137" s="5">
        <v>0.6</v>
      </c>
      <c r="BE137" s="5"/>
      <c r="BF137" s="5">
        <v>4.0999999999999996</v>
      </c>
      <c r="BG137" s="5">
        <v>18.100000000000001</v>
      </c>
      <c r="BH137" s="5">
        <v>0.45882588659587298</v>
      </c>
      <c r="BI137" s="5">
        <f t="shared" si="18"/>
        <v>57.362250000000003</v>
      </c>
      <c r="BJ137" s="5">
        <v>25.5348837209302</v>
      </c>
      <c r="BK137" s="5">
        <f t="shared" si="14"/>
        <v>0.94145569620253178</v>
      </c>
      <c r="BL137" s="5">
        <v>0.72384428223844299</v>
      </c>
      <c r="BM137" s="98">
        <v>1267.29246449792</v>
      </c>
      <c r="BN137" s="5">
        <v>0.89717092662947495</v>
      </c>
      <c r="BO137" s="6">
        <v>0.97799999999989196</v>
      </c>
      <c r="BP137" s="6">
        <f t="shared" si="19"/>
        <v>0.93686837065168194</v>
      </c>
      <c r="BQ137" s="6"/>
      <c r="BR137" s="6"/>
      <c r="BS137" s="2" t="s">
        <v>295</v>
      </c>
      <c r="BT137" s="52" t="s">
        <v>332</v>
      </c>
    </row>
    <row r="138" spans="1:72">
      <c r="A138" s="2">
        <v>218848</v>
      </c>
      <c r="B138" s="2" t="s">
        <v>323</v>
      </c>
      <c r="C138" s="2" t="s">
        <v>331</v>
      </c>
      <c r="D138" s="2" t="s">
        <v>429</v>
      </c>
      <c r="E138" s="2">
        <v>2800</v>
      </c>
      <c r="F138" s="5">
        <v>51.88</v>
      </c>
      <c r="G138" s="5">
        <v>0.44</v>
      </c>
      <c r="H138" s="5">
        <v>11.5</v>
      </c>
      <c r="I138" s="5">
        <v>10.23</v>
      </c>
      <c r="J138" s="5">
        <v>0.17</v>
      </c>
      <c r="K138" s="5">
        <v>13.79</v>
      </c>
      <c r="L138" s="5">
        <v>9.5399999999999991</v>
      </c>
      <c r="M138" s="5">
        <v>1.1299999999999999</v>
      </c>
      <c r="N138" s="5">
        <v>0.09</v>
      </c>
      <c r="O138" s="5">
        <v>4.5999999999999999E-2</v>
      </c>
      <c r="P138" s="5">
        <v>1.19</v>
      </c>
      <c r="Q138" s="5">
        <f t="shared" si="15"/>
        <v>98.815999999999988</v>
      </c>
      <c r="R138" s="5">
        <f t="shared" si="16"/>
        <v>72.753846243297332</v>
      </c>
      <c r="S138" s="5">
        <f t="shared" si="17"/>
        <v>2637.1353449355202</v>
      </c>
      <c r="T138" s="5"/>
      <c r="U138" s="5"/>
      <c r="V138" s="5"/>
      <c r="W138" s="5">
        <v>241</v>
      </c>
      <c r="X138" s="5">
        <v>1204</v>
      </c>
      <c r="Y138" s="5">
        <v>56</v>
      </c>
      <c r="Z138" s="5">
        <v>314</v>
      </c>
      <c r="AA138" s="5"/>
      <c r="AB138" s="5"/>
      <c r="AC138" s="5"/>
      <c r="AD138" s="5">
        <v>2.9</v>
      </c>
      <c r="AE138" s="5">
        <v>77.8</v>
      </c>
      <c r="AF138" s="5">
        <v>13.1</v>
      </c>
      <c r="AG138" s="5">
        <v>32</v>
      </c>
      <c r="AH138" s="5">
        <v>1</v>
      </c>
      <c r="AI138" s="5"/>
      <c r="AJ138" s="5"/>
      <c r="AK138" s="5">
        <v>64.7</v>
      </c>
      <c r="AL138" s="5">
        <v>1.9</v>
      </c>
      <c r="AM138" s="5">
        <v>5.0999999999999996</v>
      </c>
      <c r="AN138" s="5">
        <v>0.7</v>
      </c>
      <c r="AO138" s="5">
        <v>3</v>
      </c>
      <c r="AP138" s="5"/>
      <c r="AQ138" s="5">
        <v>0.4</v>
      </c>
      <c r="AR138" s="5">
        <v>1.7</v>
      </c>
      <c r="AS138" s="5">
        <v>0.3</v>
      </c>
      <c r="AT138" s="5">
        <v>2.5</v>
      </c>
      <c r="AU138" s="5">
        <v>0.5</v>
      </c>
      <c r="AV138" s="5">
        <v>1.6</v>
      </c>
      <c r="AW138" s="5">
        <v>0.2</v>
      </c>
      <c r="AX138" s="5">
        <v>1.6</v>
      </c>
      <c r="AY138" s="5">
        <v>0.3</v>
      </c>
      <c r="AZ138" s="5">
        <v>1</v>
      </c>
      <c r="BA138" s="5"/>
      <c r="BB138" s="5"/>
      <c r="BC138" s="5"/>
      <c r="BD138" s="5">
        <v>0.5</v>
      </c>
      <c r="BE138" s="5"/>
      <c r="BF138" s="5">
        <v>4.2</v>
      </c>
      <c r="BG138" s="5">
        <v>19.8</v>
      </c>
      <c r="BH138" s="5">
        <v>0.50712334834280703</v>
      </c>
      <c r="BI138" s="5">
        <f t="shared" si="18"/>
        <v>54.146788235294117</v>
      </c>
      <c r="BJ138" s="5">
        <v>26.136363636363601</v>
      </c>
      <c r="BK138" s="5">
        <f t="shared" si="14"/>
        <v>0.85179324894514774</v>
      </c>
      <c r="BL138" s="5">
        <v>0.878953771289538</v>
      </c>
      <c r="BM138" s="98">
        <v>1268.2813651718</v>
      </c>
      <c r="BN138" s="5">
        <v>0.89305707061865403</v>
      </c>
      <c r="BO138" s="6">
        <v>1.1449999999998799</v>
      </c>
      <c r="BP138" s="6">
        <f t="shared" si="19"/>
        <v>1.1022228282473414</v>
      </c>
      <c r="BQ138" s="6"/>
      <c r="BR138" s="6"/>
      <c r="BS138" s="2" t="s">
        <v>295</v>
      </c>
      <c r="BT138" s="52" t="s">
        <v>332</v>
      </c>
    </row>
    <row r="139" spans="1:72">
      <c r="A139" s="2">
        <v>218854</v>
      </c>
      <c r="B139" s="2" t="s">
        <v>323</v>
      </c>
      <c r="C139" s="2" t="s">
        <v>331</v>
      </c>
      <c r="D139" s="2" t="s">
        <v>429</v>
      </c>
      <c r="E139" s="2">
        <v>2800</v>
      </c>
      <c r="F139" s="5">
        <v>51.38</v>
      </c>
      <c r="G139" s="5">
        <v>0.46</v>
      </c>
      <c r="H139" s="5">
        <v>11.79</v>
      </c>
      <c r="I139" s="5">
        <v>10.41</v>
      </c>
      <c r="J139" s="5">
        <v>0.19</v>
      </c>
      <c r="K139" s="5">
        <v>10.54</v>
      </c>
      <c r="L139" s="5">
        <v>12.1</v>
      </c>
      <c r="M139" s="5">
        <v>1.74</v>
      </c>
      <c r="N139" s="5">
        <v>0.12</v>
      </c>
      <c r="O139" s="5">
        <v>4.4999999999999998E-2</v>
      </c>
      <c r="P139" s="5">
        <v>0.91</v>
      </c>
      <c r="Q139" s="5">
        <f t="shared" si="15"/>
        <v>98.775000000000006</v>
      </c>
      <c r="R139" s="5">
        <f t="shared" si="16"/>
        <v>66.729165703664023</v>
      </c>
      <c r="S139" s="5">
        <f t="shared" si="17"/>
        <v>2757.00513334168</v>
      </c>
      <c r="T139" s="5"/>
      <c r="U139" s="5"/>
      <c r="V139" s="5"/>
      <c r="W139" s="5">
        <v>243</v>
      </c>
      <c r="X139" s="5">
        <v>1233</v>
      </c>
      <c r="Y139" s="5">
        <v>56</v>
      </c>
      <c r="Z139" s="5">
        <v>288</v>
      </c>
      <c r="AA139" s="5"/>
      <c r="AB139" s="5"/>
      <c r="AC139" s="5"/>
      <c r="AD139" s="5">
        <v>2.1</v>
      </c>
      <c r="AE139" s="5">
        <v>88.9</v>
      </c>
      <c r="AF139" s="5">
        <v>14.1</v>
      </c>
      <c r="AG139" s="5">
        <v>32</v>
      </c>
      <c r="AH139" s="5">
        <v>1</v>
      </c>
      <c r="AI139" s="5"/>
      <c r="AJ139" s="5"/>
      <c r="AK139" s="5">
        <v>104.6</v>
      </c>
      <c r="AL139" s="5">
        <v>2.2999999999999998</v>
      </c>
      <c r="AM139" s="5">
        <v>4.9000000000000004</v>
      </c>
      <c r="AN139" s="5">
        <v>0.7</v>
      </c>
      <c r="AO139" s="5">
        <v>3.4</v>
      </c>
      <c r="AP139" s="5"/>
      <c r="AQ139" s="5">
        <v>0.4</v>
      </c>
      <c r="AR139" s="5">
        <v>1.8</v>
      </c>
      <c r="AS139" s="5">
        <v>0.3</v>
      </c>
      <c r="AT139" s="5">
        <v>2.2999999999999998</v>
      </c>
      <c r="AU139" s="5">
        <v>0.5</v>
      </c>
      <c r="AV139" s="5">
        <v>1.5</v>
      </c>
      <c r="AW139" s="5">
        <v>0.2</v>
      </c>
      <c r="AX139" s="5">
        <v>1.6</v>
      </c>
      <c r="AY139" s="5">
        <v>0.3</v>
      </c>
      <c r="AZ139" s="5">
        <v>1</v>
      </c>
      <c r="BA139" s="5"/>
      <c r="BB139" s="5"/>
      <c r="BC139" s="5"/>
      <c r="BD139" s="5">
        <v>0.6</v>
      </c>
      <c r="BE139" s="5"/>
      <c r="BF139" s="5">
        <v>4.0999999999999996</v>
      </c>
      <c r="BG139" s="5">
        <v>20.2</v>
      </c>
      <c r="BH139" s="5">
        <v>0.41892798341362297</v>
      </c>
      <c r="BI139" s="5">
        <f t="shared" si="18"/>
        <v>49.299568421052633</v>
      </c>
      <c r="BJ139" s="5">
        <v>25.630434782608699</v>
      </c>
      <c r="BK139" s="5">
        <f t="shared" si="14"/>
        <v>1.0311181434599155</v>
      </c>
      <c r="BL139" s="5">
        <v>0.93065693430656904</v>
      </c>
      <c r="BM139" s="98">
        <v>1285.8353406424101</v>
      </c>
      <c r="BN139" s="5">
        <v>1.0880458163037201</v>
      </c>
      <c r="BO139" s="6">
        <v>0.93999999999989103</v>
      </c>
      <c r="BP139" s="6">
        <f t="shared" si="19"/>
        <v>0.97521832652137908</v>
      </c>
      <c r="BQ139" s="6"/>
      <c r="BR139" s="6"/>
      <c r="BS139" s="2" t="s">
        <v>295</v>
      </c>
      <c r="BT139" s="52" t="s">
        <v>332</v>
      </c>
    </row>
    <row r="140" spans="1:72">
      <c r="A140" s="2">
        <v>218855</v>
      </c>
      <c r="B140" s="2" t="s">
        <v>323</v>
      </c>
      <c r="C140" s="2" t="s">
        <v>331</v>
      </c>
      <c r="D140" s="2" t="s">
        <v>429</v>
      </c>
      <c r="E140" s="2">
        <v>2800</v>
      </c>
      <c r="F140" s="5">
        <v>50.53</v>
      </c>
      <c r="G140" s="5">
        <v>0.42</v>
      </c>
      <c r="H140" s="5">
        <v>11.09</v>
      </c>
      <c r="I140" s="5">
        <v>10.029999999999999</v>
      </c>
      <c r="J140" s="5">
        <v>0.17</v>
      </c>
      <c r="K140" s="5">
        <v>14.28</v>
      </c>
      <c r="L140" s="5">
        <v>8.66</v>
      </c>
      <c r="M140" s="5">
        <v>1.1499999999999999</v>
      </c>
      <c r="N140" s="5">
        <v>0.06</v>
      </c>
      <c r="O140" s="5">
        <v>4.4999999999999998E-2</v>
      </c>
      <c r="P140" s="5">
        <v>2.99</v>
      </c>
      <c r="Q140" s="5">
        <f t="shared" si="15"/>
        <v>96.435000000000016</v>
      </c>
      <c r="R140" s="5">
        <f t="shared" si="16"/>
        <v>73.823782233380186</v>
      </c>
      <c r="S140" s="5">
        <f t="shared" si="17"/>
        <v>2517.2655565293599</v>
      </c>
      <c r="T140" s="5"/>
      <c r="U140" s="5"/>
      <c r="V140" s="5"/>
      <c r="W140" s="5">
        <v>223</v>
      </c>
      <c r="X140" s="5">
        <v>1285</v>
      </c>
      <c r="Y140" s="5">
        <v>55</v>
      </c>
      <c r="Z140" s="5">
        <v>362</v>
      </c>
      <c r="AA140" s="5"/>
      <c r="AB140" s="5"/>
      <c r="AC140" s="5"/>
      <c r="AD140" s="5">
        <v>1.3</v>
      </c>
      <c r="AE140" s="5">
        <v>46.7</v>
      </c>
      <c r="AF140" s="5">
        <v>12.2</v>
      </c>
      <c r="AG140" s="5">
        <v>31</v>
      </c>
      <c r="AH140" s="5">
        <v>0.7</v>
      </c>
      <c r="AI140" s="5"/>
      <c r="AJ140" s="5"/>
      <c r="AK140" s="5">
        <v>108.2</v>
      </c>
      <c r="AL140" s="5">
        <v>1.9</v>
      </c>
      <c r="AM140" s="5">
        <v>3.8</v>
      </c>
      <c r="AN140" s="5">
        <v>0.6</v>
      </c>
      <c r="AO140" s="5">
        <v>2</v>
      </c>
      <c r="AP140" s="5"/>
      <c r="AQ140" s="5">
        <v>0.3</v>
      </c>
      <c r="AR140" s="5">
        <v>1.4</v>
      </c>
      <c r="AS140" s="5">
        <v>0.3</v>
      </c>
      <c r="AT140" s="5">
        <v>2.2999999999999998</v>
      </c>
      <c r="AU140" s="5">
        <v>0.5</v>
      </c>
      <c r="AV140" s="5">
        <v>1.5</v>
      </c>
      <c r="AW140" s="5">
        <v>0.2</v>
      </c>
      <c r="AX140" s="5">
        <v>1.5</v>
      </c>
      <c r="AY140" s="5">
        <v>0.3</v>
      </c>
      <c r="AZ140" s="5">
        <v>0.9</v>
      </c>
      <c r="BA140" s="5"/>
      <c r="BB140" s="5"/>
      <c r="BC140" s="5"/>
      <c r="BD140" s="5">
        <v>0.6</v>
      </c>
      <c r="BE140" s="5"/>
      <c r="BF140" s="5">
        <v>4</v>
      </c>
      <c r="BG140" s="5">
        <v>16.600000000000001</v>
      </c>
      <c r="BH140" s="5">
        <v>0.35498634383996502</v>
      </c>
      <c r="BI140" s="5">
        <f t="shared" si="18"/>
        <v>53.088199999999993</v>
      </c>
      <c r="BJ140" s="5">
        <v>26.404761904761902</v>
      </c>
      <c r="BK140" s="5">
        <f t="shared" si="14"/>
        <v>0.90857946554149105</v>
      </c>
      <c r="BL140" s="5">
        <v>0.77210056772100599</v>
      </c>
      <c r="BM140" s="98">
        <v>1265.40119656038</v>
      </c>
      <c r="BN140" s="5">
        <v>0.90310894638204198</v>
      </c>
      <c r="BO140" s="6">
        <v>0.95799999999989105</v>
      </c>
      <c r="BP140" s="6">
        <f t="shared" si="19"/>
        <v>0.91924357855270789</v>
      </c>
      <c r="BQ140" s="6"/>
      <c r="BR140" s="6"/>
      <c r="BS140" s="2" t="s">
        <v>295</v>
      </c>
      <c r="BT140" s="52" t="s">
        <v>332</v>
      </c>
    </row>
    <row r="141" spans="1:72">
      <c r="A141" s="2">
        <v>218858</v>
      </c>
      <c r="B141" s="2" t="s">
        <v>323</v>
      </c>
      <c r="C141" s="2" t="s">
        <v>331</v>
      </c>
      <c r="D141" s="2" t="s">
        <v>429</v>
      </c>
      <c r="E141" s="2">
        <v>2800</v>
      </c>
      <c r="F141" s="5">
        <v>51.14</v>
      </c>
      <c r="G141" s="5">
        <v>0.44</v>
      </c>
      <c r="H141" s="5">
        <v>11.46</v>
      </c>
      <c r="I141" s="5">
        <v>11.08</v>
      </c>
      <c r="J141" s="5">
        <v>0.2</v>
      </c>
      <c r="K141" s="5">
        <v>10.78</v>
      </c>
      <c r="L141" s="5">
        <v>12.21</v>
      </c>
      <c r="M141" s="5">
        <v>1.42</v>
      </c>
      <c r="N141" s="5">
        <v>0.1</v>
      </c>
      <c r="O141" s="5">
        <v>4.7E-2</v>
      </c>
      <c r="P141" s="5">
        <v>1.08</v>
      </c>
      <c r="Q141" s="5">
        <f t="shared" si="15"/>
        <v>98.876999999999995</v>
      </c>
      <c r="R141" s="5">
        <f t="shared" si="16"/>
        <v>65.838402995584104</v>
      </c>
      <c r="S141" s="5">
        <f t="shared" si="17"/>
        <v>2637.1353449355202</v>
      </c>
      <c r="T141" s="5"/>
      <c r="U141" s="5"/>
      <c r="V141" s="5"/>
      <c r="W141" s="5">
        <v>251</v>
      </c>
      <c r="X141" s="5">
        <v>1224</v>
      </c>
      <c r="Y141" s="5">
        <v>59</v>
      </c>
      <c r="Z141" s="5">
        <v>287</v>
      </c>
      <c r="AA141" s="5"/>
      <c r="AB141" s="5"/>
      <c r="AC141" s="5"/>
      <c r="AD141" s="5">
        <v>1.4</v>
      </c>
      <c r="AE141" s="5">
        <v>86.7</v>
      </c>
      <c r="AF141" s="5">
        <v>13.2</v>
      </c>
      <c r="AG141" s="5">
        <v>31</v>
      </c>
      <c r="AH141" s="5">
        <v>1.4</v>
      </c>
      <c r="AI141" s="5"/>
      <c r="AJ141" s="5"/>
      <c r="AK141" s="5">
        <v>27</v>
      </c>
      <c r="AL141" s="5">
        <v>2.5</v>
      </c>
      <c r="AM141" s="5">
        <v>4.7</v>
      </c>
      <c r="AN141" s="5">
        <v>0.7</v>
      </c>
      <c r="AO141" s="5">
        <v>3</v>
      </c>
      <c r="AP141" s="5"/>
      <c r="AQ141" s="5">
        <v>0.3</v>
      </c>
      <c r="AR141" s="5">
        <v>1.4</v>
      </c>
      <c r="AS141" s="5">
        <v>0.4</v>
      </c>
      <c r="AT141" s="5">
        <v>2.1</v>
      </c>
      <c r="AU141" s="5">
        <v>0.5</v>
      </c>
      <c r="AV141" s="5">
        <v>1.6</v>
      </c>
      <c r="AW141" s="5">
        <v>0.2</v>
      </c>
      <c r="AX141" s="5">
        <v>1.7</v>
      </c>
      <c r="AY141" s="5">
        <v>0.3</v>
      </c>
      <c r="AZ141" s="5">
        <v>1.1000000000000001</v>
      </c>
      <c r="BA141" s="5"/>
      <c r="BB141" s="5"/>
      <c r="BC141" s="5"/>
      <c r="BD141" s="5">
        <v>0.6</v>
      </c>
      <c r="BE141" s="5"/>
      <c r="BF141" s="5">
        <v>4.3</v>
      </c>
      <c r="BG141" s="5">
        <v>19.399999999999999</v>
      </c>
      <c r="BH141" s="5">
        <v>0.53957924263674595</v>
      </c>
      <c r="BI141" s="5">
        <f t="shared" si="18"/>
        <v>49.84892</v>
      </c>
      <c r="BJ141" s="5">
        <v>26.045454545454501</v>
      </c>
      <c r="BK141" s="5">
        <f t="shared" si="14"/>
        <v>1.0548523206751057</v>
      </c>
      <c r="BL141" s="5">
        <v>0.68126520681265201</v>
      </c>
      <c r="BM141" s="98">
        <v>1307.6708665224401</v>
      </c>
      <c r="BN141" s="5">
        <v>1.18085324236828</v>
      </c>
      <c r="BO141" s="6">
        <v>0.86399999999989097</v>
      </c>
      <c r="BP141" s="6">
        <f t="shared" si="19"/>
        <v>0.93634129694720303</v>
      </c>
      <c r="BQ141" s="6"/>
      <c r="BR141" s="6"/>
      <c r="BS141" s="2" t="s">
        <v>295</v>
      </c>
      <c r="BT141" s="52" t="s">
        <v>332</v>
      </c>
    </row>
    <row r="142" spans="1:72">
      <c r="A142" s="2">
        <v>218859</v>
      </c>
      <c r="B142" s="2" t="s">
        <v>323</v>
      </c>
      <c r="C142" s="2" t="s">
        <v>331</v>
      </c>
      <c r="D142" s="2" t="s">
        <v>429</v>
      </c>
      <c r="E142" s="2">
        <v>2800</v>
      </c>
      <c r="F142" s="5">
        <v>50.04</v>
      </c>
      <c r="G142" s="5">
        <v>0.42</v>
      </c>
      <c r="H142" s="5">
        <v>10.88</v>
      </c>
      <c r="I142" s="5">
        <v>9.91</v>
      </c>
      <c r="J142" s="5">
        <v>0.16</v>
      </c>
      <c r="K142" s="5">
        <v>14.34</v>
      </c>
      <c r="L142" s="5">
        <v>10.44</v>
      </c>
      <c r="M142" s="5">
        <v>1.06</v>
      </c>
      <c r="N142" s="5">
        <v>0.09</v>
      </c>
      <c r="O142" s="5">
        <v>4.3999999999999997E-2</v>
      </c>
      <c r="P142" s="5">
        <v>2.46</v>
      </c>
      <c r="Q142" s="5">
        <f t="shared" si="15"/>
        <v>97.384</v>
      </c>
      <c r="R142" s="5">
        <f t="shared" si="16"/>
        <v>74.13618370121327</v>
      </c>
      <c r="S142" s="5">
        <f t="shared" si="17"/>
        <v>2517.2655565293599</v>
      </c>
      <c r="T142" s="5"/>
      <c r="U142" s="5"/>
      <c r="V142" s="5"/>
      <c r="W142" s="5">
        <v>226</v>
      </c>
      <c r="X142" s="5">
        <v>1310</v>
      </c>
      <c r="Y142" s="5">
        <v>56</v>
      </c>
      <c r="Z142" s="5">
        <v>370</v>
      </c>
      <c r="AA142" s="5"/>
      <c r="AB142" s="5"/>
      <c r="AC142" s="5"/>
      <c r="AD142" s="5">
        <v>3</v>
      </c>
      <c r="AE142" s="5">
        <v>76.099999999999994</v>
      </c>
      <c r="AF142" s="5">
        <v>12.8</v>
      </c>
      <c r="AG142" s="5">
        <v>29</v>
      </c>
      <c r="AH142" s="5">
        <v>0.9</v>
      </c>
      <c r="AI142" s="5"/>
      <c r="AJ142" s="5"/>
      <c r="AK142" s="5">
        <v>81</v>
      </c>
      <c r="AL142" s="5">
        <v>1.3</v>
      </c>
      <c r="AM142" s="5">
        <v>3</v>
      </c>
      <c r="AN142" s="5">
        <v>0.5</v>
      </c>
      <c r="AO142" s="5">
        <v>2.8</v>
      </c>
      <c r="AP142" s="5"/>
      <c r="AQ142" s="5">
        <v>0.4</v>
      </c>
      <c r="AR142" s="5">
        <v>1.4</v>
      </c>
      <c r="AS142" s="5">
        <v>0.4</v>
      </c>
      <c r="AT142" s="5">
        <v>2.1</v>
      </c>
      <c r="AU142" s="5">
        <v>0.5</v>
      </c>
      <c r="AV142" s="5">
        <v>1.5</v>
      </c>
      <c r="AW142" s="5">
        <v>0.2</v>
      </c>
      <c r="AX142" s="5">
        <v>1.6</v>
      </c>
      <c r="AY142" s="5">
        <v>0.3</v>
      </c>
      <c r="AZ142" s="5">
        <v>1</v>
      </c>
      <c r="BA142" s="5"/>
      <c r="BB142" s="5"/>
      <c r="BC142" s="5"/>
      <c r="BD142" s="5">
        <v>0.5</v>
      </c>
      <c r="BE142" s="5"/>
      <c r="BF142" s="5">
        <v>4.0999999999999996</v>
      </c>
      <c r="BG142" s="5">
        <v>16</v>
      </c>
      <c r="BH142" s="5">
        <v>0.66706225051246104</v>
      </c>
      <c r="BI142" s="5">
        <f t="shared" si="18"/>
        <v>55.731362500000003</v>
      </c>
      <c r="BJ142" s="5">
        <v>25.904761904761902</v>
      </c>
      <c r="BK142" s="5">
        <f t="shared" si="14"/>
        <v>0.58280590717299585</v>
      </c>
      <c r="BL142" s="5">
        <v>0.72384428223844299</v>
      </c>
      <c r="BM142" s="98">
        <v>1268.1484693484499</v>
      </c>
      <c r="BN142" s="5">
        <v>0.96980221845218695</v>
      </c>
      <c r="BO142" s="6">
        <v>0.97799999999989196</v>
      </c>
      <c r="BP142" s="6">
        <f t="shared" si="19"/>
        <v>0.96592088738076676</v>
      </c>
      <c r="BQ142" s="6"/>
      <c r="BR142" s="6"/>
      <c r="BS142" s="2" t="s">
        <v>295</v>
      </c>
      <c r="BT142" s="52" t="s">
        <v>332</v>
      </c>
    </row>
    <row r="143" spans="1:72">
      <c r="A143" s="2">
        <v>218860</v>
      </c>
      <c r="B143" s="2" t="s">
        <v>323</v>
      </c>
      <c r="C143" s="2" t="s">
        <v>331</v>
      </c>
      <c r="D143" s="2" t="s">
        <v>429</v>
      </c>
      <c r="E143" s="2">
        <v>2800</v>
      </c>
      <c r="F143" s="5">
        <v>50.57</v>
      </c>
      <c r="G143" s="5">
        <v>0.44</v>
      </c>
      <c r="H143" s="5">
        <v>11.23</v>
      </c>
      <c r="I143" s="5">
        <v>10.08</v>
      </c>
      <c r="J143" s="5">
        <v>0.16</v>
      </c>
      <c r="K143" s="5">
        <v>13.6</v>
      </c>
      <c r="L143" s="5">
        <v>8.77</v>
      </c>
      <c r="M143" s="5">
        <v>1.1000000000000001</v>
      </c>
      <c r="N143" s="5">
        <v>0.16</v>
      </c>
      <c r="O143" s="5">
        <v>4.4999999999999998E-2</v>
      </c>
      <c r="P143" s="5">
        <v>3.14</v>
      </c>
      <c r="Q143" s="5">
        <f t="shared" si="15"/>
        <v>96.154999999999973</v>
      </c>
      <c r="R143" s="5">
        <f t="shared" si="16"/>
        <v>72.771631795753734</v>
      </c>
      <c r="S143" s="5">
        <f t="shared" si="17"/>
        <v>2637.1353449355202</v>
      </c>
      <c r="T143" s="5"/>
      <c r="U143" s="5"/>
      <c r="V143" s="5"/>
      <c r="W143" s="5">
        <v>223</v>
      </c>
      <c r="X143" s="5">
        <v>1083</v>
      </c>
      <c r="Y143" s="5">
        <v>51</v>
      </c>
      <c r="Z143" s="5">
        <v>291</v>
      </c>
      <c r="AA143" s="5"/>
      <c r="AB143" s="5"/>
      <c r="AC143" s="5"/>
      <c r="AD143" s="5">
        <v>5.4</v>
      </c>
      <c r="AE143" s="5">
        <v>47.2</v>
      </c>
      <c r="AF143" s="5">
        <v>12.5</v>
      </c>
      <c r="AG143" s="5">
        <v>31</v>
      </c>
      <c r="AH143" s="5">
        <v>1</v>
      </c>
      <c r="AI143" s="5"/>
      <c r="AJ143" s="5"/>
      <c r="AK143" s="5">
        <v>96.9</v>
      </c>
      <c r="AL143" s="5">
        <v>2.4</v>
      </c>
      <c r="AM143" s="5">
        <v>5.7</v>
      </c>
      <c r="AN143" s="5">
        <v>0.7</v>
      </c>
      <c r="AO143" s="5">
        <v>2.7</v>
      </c>
      <c r="AP143" s="5"/>
      <c r="AQ143" s="5">
        <v>0.4</v>
      </c>
      <c r="AR143" s="5">
        <v>1.5</v>
      </c>
      <c r="AS143" s="5">
        <v>0.4</v>
      </c>
      <c r="AT143" s="5">
        <v>2.4</v>
      </c>
      <c r="AU143" s="5">
        <v>0.6</v>
      </c>
      <c r="AV143" s="5">
        <v>1.5</v>
      </c>
      <c r="AW143" s="5">
        <v>0.2</v>
      </c>
      <c r="AX143" s="5">
        <v>1.3</v>
      </c>
      <c r="AY143" s="5">
        <v>0.2</v>
      </c>
      <c r="AZ143" s="5">
        <v>1</v>
      </c>
      <c r="BA143" s="5"/>
      <c r="BB143" s="5"/>
      <c r="BC143" s="5"/>
      <c r="BD143" s="5">
        <v>0.4</v>
      </c>
      <c r="BE143" s="5"/>
      <c r="BF143" s="5">
        <v>3.8</v>
      </c>
      <c r="BG143" s="5">
        <v>20</v>
      </c>
      <c r="BH143" s="5">
        <v>0.401472650771388</v>
      </c>
      <c r="BI143" s="5">
        <f t="shared" si="18"/>
        <v>56.687399999999997</v>
      </c>
      <c r="BJ143" s="5">
        <v>25.522727272727298</v>
      </c>
      <c r="BK143" s="5">
        <f t="shared" si="14"/>
        <v>1.3242453748782865</v>
      </c>
      <c r="BL143" s="5">
        <v>0.95451993262212298</v>
      </c>
      <c r="BM143" s="98">
        <v>1268.3570238464599</v>
      </c>
      <c r="BN143" s="5">
        <v>0.91154631001833397</v>
      </c>
      <c r="BO143" s="6">
        <v>0.87999999999989098</v>
      </c>
      <c r="BP143" s="6">
        <f t="shared" si="19"/>
        <v>0.84461852400722459</v>
      </c>
      <c r="BQ143" s="6"/>
      <c r="BR143" s="6"/>
      <c r="BS143" s="2" t="s">
        <v>295</v>
      </c>
      <c r="BT143" s="52" t="s">
        <v>332</v>
      </c>
    </row>
    <row r="144" spans="1:72">
      <c r="A144" s="2">
        <v>218861</v>
      </c>
      <c r="B144" s="2" t="s">
        <v>323</v>
      </c>
      <c r="C144" s="2" t="s">
        <v>331</v>
      </c>
      <c r="D144" s="2" t="s">
        <v>429</v>
      </c>
      <c r="E144" s="2">
        <v>2800</v>
      </c>
      <c r="F144" s="5">
        <v>49.76</v>
      </c>
      <c r="G144" s="5">
        <v>0.42</v>
      </c>
      <c r="H144" s="5">
        <v>10.89</v>
      </c>
      <c r="I144" s="5">
        <v>9.7200000000000006</v>
      </c>
      <c r="J144" s="5">
        <v>0.16</v>
      </c>
      <c r="K144" s="5">
        <v>12.54</v>
      </c>
      <c r="L144" s="5">
        <v>13.11</v>
      </c>
      <c r="M144" s="5">
        <v>0.69</v>
      </c>
      <c r="N144" s="5">
        <v>0.41</v>
      </c>
      <c r="O144" s="5">
        <v>3.9E-2</v>
      </c>
      <c r="P144" s="5">
        <v>1.58</v>
      </c>
      <c r="Q144" s="5">
        <f t="shared" si="15"/>
        <v>97.739000000000004</v>
      </c>
      <c r="R144" s="5">
        <f t="shared" si="16"/>
        <v>71.875375502769941</v>
      </c>
      <c r="S144" s="5">
        <f t="shared" si="17"/>
        <v>2517.2655565293599</v>
      </c>
      <c r="T144" s="5"/>
      <c r="U144" s="5"/>
      <c r="V144" s="5"/>
      <c r="W144" s="5">
        <v>210</v>
      </c>
      <c r="X144" s="5">
        <v>1370</v>
      </c>
      <c r="Y144" s="5">
        <v>51</v>
      </c>
      <c r="Z144" s="5">
        <v>363</v>
      </c>
      <c r="AA144" s="5"/>
      <c r="AB144" s="5"/>
      <c r="AC144" s="5"/>
      <c r="AD144" s="5">
        <v>20.5</v>
      </c>
      <c r="AE144" s="5">
        <v>73</v>
      </c>
      <c r="AF144" s="5">
        <v>13.4</v>
      </c>
      <c r="AG144" s="5">
        <v>31</v>
      </c>
      <c r="AH144" s="5">
        <v>1</v>
      </c>
      <c r="AI144" s="5"/>
      <c r="AJ144" s="5"/>
      <c r="AK144" s="5">
        <v>105.1</v>
      </c>
      <c r="AL144" s="5">
        <v>2.4</v>
      </c>
      <c r="AM144" s="5">
        <v>4.7</v>
      </c>
      <c r="AN144" s="5">
        <v>0.8</v>
      </c>
      <c r="AO144" s="5">
        <v>3.2</v>
      </c>
      <c r="AP144" s="5"/>
      <c r="AQ144" s="5">
        <v>0.3</v>
      </c>
      <c r="AR144" s="5">
        <v>1.4</v>
      </c>
      <c r="AS144" s="5">
        <v>0.3</v>
      </c>
      <c r="AT144" s="5">
        <v>2.2000000000000002</v>
      </c>
      <c r="AU144" s="5">
        <v>0.5</v>
      </c>
      <c r="AV144" s="5">
        <v>1.5</v>
      </c>
      <c r="AW144" s="5">
        <v>0.2</v>
      </c>
      <c r="AX144" s="5">
        <v>1.8</v>
      </c>
      <c r="AY144" s="5">
        <v>0.3</v>
      </c>
      <c r="AZ144" s="5">
        <v>0.9</v>
      </c>
      <c r="BA144" s="5"/>
      <c r="BB144" s="5"/>
      <c r="BC144" s="5"/>
      <c r="BD144" s="5">
        <v>0.6</v>
      </c>
      <c r="BE144" s="5"/>
      <c r="BF144" s="5">
        <v>4.3</v>
      </c>
      <c r="BG144" s="5">
        <v>19.600000000000001</v>
      </c>
      <c r="BH144" s="5">
        <v>0.401472650771388</v>
      </c>
      <c r="BI144" s="5">
        <f t="shared" si="18"/>
        <v>54.662850000000006</v>
      </c>
      <c r="BJ144" s="5">
        <v>25.928571428571399</v>
      </c>
      <c r="BK144" s="5">
        <f t="shared" si="14"/>
        <v>0.95639943741209577</v>
      </c>
      <c r="BL144" s="5">
        <v>0.64341713976750503</v>
      </c>
      <c r="BM144" s="98">
        <v>1267.8577091075199</v>
      </c>
      <c r="BN144" s="5">
        <v>0.95758076761001598</v>
      </c>
      <c r="BO144" s="6">
        <v>0.73299999999989096</v>
      </c>
      <c r="BP144" s="6">
        <f t="shared" si="19"/>
        <v>0.71603230704389731</v>
      </c>
      <c r="BQ144" s="6"/>
      <c r="BR144" s="6"/>
      <c r="BS144" s="2" t="s">
        <v>295</v>
      </c>
      <c r="BT144" s="52" t="s">
        <v>332</v>
      </c>
    </row>
    <row r="145" spans="1:72">
      <c r="A145" s="2">
        <v>218867</v>
      </c>
      <c r="B145" s="2" t="s">
        <v>323</v>
      </c>
      <c r="C145" s="2" t="s">
        <v>331</v>
      </c>
      <c r="D145" s="2" t="s">
        <v>429</v>
      </c>
      <c r="E145" s="2">
        <v>2800</v>
      </c>
      <c r="F145" s="5">
        <v>52.25</v>
      </c>
      <c r="G145" s="5">
        <v>0.47</v>
      </c>
      <c r="H145" s="5">
        <v>11.76</v>
      </c>
      <c r="I145" s="5">
        <v>10.02</v>
      </c>
      <c r="J145" s="5">
        <v>0.16</v>
      </c>
      <c r="K145" s="5">
        <v>12.37</v>
      </c>
      <c r="L145" s="5">
        <v>8.48</v>
      </c>
      <c r="M145" s="5">
        <v>1.39</v>
      </c>
      <c r="N145" s="5">
        <v>0.4</v>
      </c>
      <c r="O145" s="5">
        <v>4.7E-2</v>
      </c>
      <c r="P145" s="5">
        <v>2.63</v>
      </c>
      <c r="Q145" s="5">
        <f t="shared" si="15"/>
        <v>97.347000000000008</v>
      </c>
      <c r="R145" s="5">
        <f t="shared" si="16"/>
        <v>70.976467011441869</v>
      </c>
      <c r="S145" s="5">
        <f t="shared" si="17"/>
        <v>2816.9400275447601</v>
      </c>
      <c r="T145" s="5"/>
      <c r="U145" s="5"/>
      <c r="V145" s="5"/>
      <c r="W145" s="5">
        <v>237</v>
      </c>
      <c r="X145" s="5">
        <v>926</v>
      </c>
      <c r="Y145" s="5">
        <v>49</v>
      </c>
      <c r="Z145" s="5">
        <v>206</v>
      </c>
      <c r="AA145" s="5"/>
      <c r="AB145" s="5"/>
      <c r="AC145" s="5"/>
      <c r="AD145" s="5">
        <v>20.3</v>
      </c>
      <c r="AE145" s="5">
        <v>90.3</v>
      </c>
      <c r="AF145" s="5">
        <v>14.1</v>
      </c>
      <c r="AG145" s="5">
        <v>34</v>
      </c>
      <c r="AH145" s="5">
        <v>1.1000000000000001</v>
      </c>
      <c r="AI145" s="5"/>
      <c r="AJ145" s="5"/>
      <c r="AK145" s="5">
        <v>92.4</v>
      </c>
      <c r="AL145" s="5">
        <v>3.1</v>
      </c>
      <c r="AM145" s="5">
        <v>6.1</v>
      </c>
      <c r="AN145" s="5">
        <v>0.9</v>
      </c>
      <c r="AO145" s="5">
        <v>3.3</v>
      </c>
      <c r="AP145" s="5"/>
      <c r="AQ145" s="5">
        <v>0.4</v>
      </c>
      <c r="AR145" s="5">
        <v>2.1</v>
      </c>
      <c r="AS145" s="5">
        <v>0.3</v>
      </c>
      <c r="AT145" s="5">
        <v>2.8</v>
      </c>
      <c r="AU145" s="5">
        <v>0.6</v>
      </c>
      <c r="AV145" s="5">
        <v>1.9</v>
      </c>
      <c r="AW145" s="5">
        <v>0.3</v>
      </c>
      <c r="AX145" s="5">
        <v>1.7</v>
      </c>
      <c r="AY145" s="5">
        <v>0.3</v>
      </c>
      <c r="AZ145" s="5">
        <v>1.1000000000000001</v>
      </c>
      <c r="BA145" s="5"/>
      <c r="BB145" s="5"/>
      <c r="BC145" s="5"/>
      <c r="BD145" s="5">
        <v>0.7</v>
      </c>
      <c r="BE145" s="5"/>
      <c r="BF145" s="5">
        <v>4.8</v>
      </c>
      <c r="BG145" s="5">
        <v>23.8</v>
      </c>
      <c r="BH145" s="5">
        <v>0.34189928968918298</v>
      </c>
      <c r="BI145" s="5">
        <f t="shared" si="18"/>
        <v>56.349974999999993</v>
      </c>
      <c r="BJ145" s="5">
        <v>25.021276595744698</v>
      </c>
      <c r="BK145" s="5">
        <f t="shared" si="14"/>
        <v>1.308016877637131</v>
      </c>
      <c r="BL145" s="5">
        <v>1.02189781021898</v>
      </c>
      <c r="BM145" s="98">
        <v>1258.8737798552299</v>
      </c>
      <c r="BN145" s="5">
        <v>0.84550746616483197</v>
      </c>
      <c r="BO145" s="6">
        <v>1.13199999999988</v>
      </c>
      <c r="BP145" s="6">
        <f t="shared" si="19"/>
        <v>1.0702029864658127</v>
      </c>
      <c r="BQ145" s="6"/>
      <c r="BR145" s="6"/>
      <c r="BS145" s="2" t="s">
        <v>295</v>
      </c>
      <c r="BT145" s="52" t="s">
        <v>332</v>
      </c>
    </row>
    <row r="146" spans="1:72">
      <c r="A146" s="2">
        <v>218879</v>
      </c>
      <c r="B146" s="2" t="s">
        <v>323</v>
      </c>
      <c r="C146" s="2" t="s">
        <v>331</v>
      </c>
      <c r="D146" s="2" t="s">
        <v>429</v>
      </c>
      <c r="E146" s="2">
        <v>2800</v>
      </c>
      <c r="F146" s="5">
        <v>50.22</v>
      </c>
      <c r="G146" s="5">
        <v>0.4</v>
      </c>
      <c r="H146" s="5">
        <v>10.35</v>
      </c>
      <c r="I146" s="5">
        <v>9.83</v>
      </c>
      <c r="J146" s="5">
        <v>0.18</v>
      </c>
      <c r="K146" s="5">
        <v>13.72</v>
      </c>
      <c r="L146" s="5">
        <v>12.06</v>
      </c>
      <c r="M146" s="5">
        <v>1.07</v>
      </c>
      <c r="N146" s="5">
        <v>0.1</v>
      </c>
      <c r="O146" s="5">
        <v>3.3000000000000002E-2</v>
      </c>
      <c r="P146" s="5">
        <v>1.42</v>
      </c>
      <c r="Q146" s="5">
        <f t="shared" si="15"/>
        <v>97.962999999999994</v>
      </c>
      <c r="R146" s="5">
        <f t="shared" si="16"/>
        <v>73.438118908615309</v>
      </c>
      <c r="S146" s="5">
        <f t="shared" si="17"/>
        <v>2397.3957681232</v>
      </c>
      <c r="T146" s="5"/>
      <c r="U146" s="5"/>
      <c r="V146" s="5"/>
      <c r="W146" s="5">
        <v>215</v>
      </c>
      <c r="X146" s="5">
        <v>1245</v>
      </c>
      <c r="Y146" s="5">
        <v>55</v>
      </c>
      <c r="Z146" s="5">
        <v>352</v>
      </c>
      <c r="AA146" s="5"/>
      <c r="AB146" s="5"/>
      <c r="AC146" s="5"/>
      <c r="AD146" s="5">
        <v>3</v>
      </c>
      <c r="AE146" s="5">
        <v>109.2</v>
      </c>
      <c r="AF146" s="5">
        <v>12.3</v>
      </c>
      <c r="AG146" s="5">
        <v>29</v>
      </c>
      <c r="AH146" s="5">
        <v>0.9</v>
      </c>
      <c r="AI146" s="5"/>
      <c r="AJ146" s="5"/>
      <c r="AK146" s="5">
        <v>22.9</v>
      </c>
      <c r="AL146" s="5">
        <v>1.8</v>
      </c>
      <c r="AM146" s="5">
        <v>4.2</v>
      </c>
      <c r="AN146" s="5">
        <v>0.7</v>
      </c>
      <c r="AO146" s="5">
        <v>2.8</v>
      </c>
      <c r="AP146" s="5"/>
      <c r="AQ146" s="5">
        <v>0.4</v>
      </c>
      <c r="AR146" s="5">
        <v>1.1000000000000001</v>
      </c>
      <c r="AS146" s="5">
        <v>0.3</v>
      </c>
      <c r="AT146" s="5">
        <v>1.9</v>
      </c>
      <c r="AU146" s="5">
        <v>0.5</v>
      </c>
      <c r="AV146" s="5">
        <v>1.3</v>
      </c>
      <c r="AW146" s="5">
        <v>0.2</v>
      </c>
      <c r="AX146" s="5">
        <v>1.5</v>
      </c>
      <c r="AY146" s="5">
        <v>0.3</v>
      </c>
      <c r="AZ146" s="5">
        <v>0.9</v>
      </c>
      <c r="BA146" s="5"/>
      <c r="BB146" s="5"/>
      <c r="BC146" s="5"/>
      <c r="BD146" s="5">
        <v>0.5</v>
      </c>
      <c r="BE146" s="5"/>
      <c r="BF146" s="5">
        <v>3.8</v>
      </c>
      <c r="BG146" s="5">
        <v>17</v>
      </c>
      <c r="BH146" s="5">
        <v>0.48176718092566601</v>
      </c>
      <c r="BI146" s="5">
        <f t="shared" si="18"/>
        <v>49.139077777777779</v>
      </c>
      <c r="BJ146" s="5">
        <v>25.875</v>
      </c>
      <c r="BK146" s="5">
        <f t="shared" si="14"/>
        <v>0.86075949367088622</v>
      </c>
      <c r="BL146" s="5">
        <v>0.60665044606650498</v>
      </c>
      <c r="BM146" s="98">
        <v>1266.9800750454999</v>
      </c>
      <c r="BN146" s="5">
        <v>0.94610159295434604</v>
      </c>
      <c r="BO146" s="6">
        <v>0.86799999999989097</v>
      </c>
      <c r="BP146" s="6">
        <f t="shared" si="19"/>
        <v>0.84644063718162943</v>
      </c>
      <c r="BQ146" s="6"/>
      <c r="BR146" s="6"/>
      <c r="BS146" s="2" t="s">
        <v>295</v>
      </c>
      <c r="BT146" s="52" t="s">
        <v>332</v>
      </c>
    </row>
    <row r="147" spans="1:72">
      <c r="A147" s="2">
        <v>218880</v>
      </c>
      <c r="B147" s="2" t="s">
        <v>323</v>
      </c>
      <c r="C147" s="2" t="s">
        <v>331</v>
      </c>
      <c r="D147" s="2" t="s">
        <v>429</v>
      </c>
      <c r="E147" s="2">
        <v>2800</v>
      </c>
      <c r="F147" s="5">
        <v>51.07</v>
      </c>
      <c r="G147" s="5">
        <v>0.43</v>
      </c>
      <c r="H147" s="5">
        <v>11.38</v>
      </c>
      <c r="I147" s="5">
        <v>10.18</v>
      </c>
      <c r="J147" s="5">
        <v>0.17</v>
      </c>
      <c r="K147" s="5">
        <v>12.97</v>
      </c>
      <c r="L147" s="5">
        <v>9.25</v>
      </c>
      <c r="M147" s="5">
        <v>1.1200000000000001</v>
      </c>
      <c r="N147" s="5">
        <v>0.13</v>
      </c>
      <c r="O147" s="5">
        <v>4.5999999999999999E-2</v>
      </c>
      <c r="P147" s="5">
        <v>2.4500000000000002</v>
      </c>
      <c r="Q147" s="5">
        <f t="shared" si="15"/>
        <v>96.746000000000009</v>
      </c>
      <c r="R147" s="5">
        <f t="shared" si="16"/>
        <v>71.621516112298792</v>
      </c>
      <c r="S147" s="5">
        <f t="shared" si="17"/>
        <v>2577.20045073244</v>
      </c>
      <c r="T147" s="5"/>
      <c r="U147" s="5"/>
      <c r="V147" s="5"/>
      <c r="W147" s="5">
        <v>228</v>
      </c>
      <c r="X147" s="5">
        <v>1066</v>
      </c>
      <c r="Y147" s="5">
        <v>52</v>
      </c>
      <c r="Z147" s="5">
        <v>273</v>
      </c>
      <c r="AA147" s="5"/>
      <c r="AB147" s="5"/>
      <c r="AC147" s="5"/>
      <c r="AD147" s="5">
        <v>6.8</v>
      </c>
      <c r="AE147" s="5">
        <v>74.400000000000006</v>
      </c>
      <c r="AF147" s="5">
        <v>13.2</v>
      </c>
      <c r="AG147" s="5">
        <v>30</v>
      </c>
      <c r="AH147" s="5">
        <v>0.9</v>
      </c>
      <c r="AI147" s="5"/>
      <c r="AJ147" s="5"/>
      <c r="AK147" s="5">
        <v>56.1</v>
      </c>
      <c r="AL147" s="5">
        <v>1.9</v>
      </c>
      <c r="AM147" s="5">
        <v>4.2</v>
      </c>
      <c r="AN147" s="5">
        <v>0.6</v>
      </c>
      <c r="AO147" s="5">
        <v>2.7</v>
      </c>
      <c r="AP147" s="5"/>
      <c r="AQ147" s="5">
        <v>0.5</v>
      </c>
      <c r="AR147" s="5">
        <v>1.7</v>
      </c>
      <c r="AS147" s="5">
        <v>0.3</v>
      </c>
      <c r="AT147" s="5">
        <v>2.1</v>
      </c>
      <c r="AU147" s="5">
        <v>0.6</v>
      </c>
      <c r="AV147" s="5">
        <v>1.6</v>
      </c>
      <c r="AW147" s="5">
        <v>0.2</v>
      </c>
      <c r="AX147" s="5">
        <v>1.7</v>
      </c>
      <c r="AY147" s="5">
        <v>0.2</v>
      </c>
      <c r="AZ147" s="5">
        <v>1</v>
      </c>
      <c r="BA147" s="5"/>
      <c r="BB147" s="5"/>
      <c r="BC147" s="5"/>
      <c r="BD147" s="5">
        <v>0.6</v>
      </c>
      <c r="BE147" s="5"/>
      <c r="BF147" s="5">
        <v>4.3</v>
      </c>
      <c r="BG147" s="5">
        <v>18.3</v>
      </c>
      <c r="BH147" s="5">
        <v>0.45641101350852598</v>
      </c>
      <c r="BI147" s="5">
        <f t="shared" si="18"/>
        <v>53.88214117647059</v>
      </c>
      <c r="BJ147" s="5">
        <v>26.4651162790698</v>
      </c>
      <c r="BK147" s="5">
        <f t="shared" si="14"/>
        <v>0.80168776371308037</v>
      </c>
      <c r="BL147" s="5">
        <v>0.82725060827250596</v>
      </c>
      <c r="BM147" s="98">
        <v>1271.27333213938</v>
      </c>
      <c r="BN147" s="5">
        <v>0.90597101962596704</v>
      </c>
      <c r="BO147" s="6">
        <v>0.94499999999989104</v>
      </c>
      <c r="BP147" s="6">
        <f t="shared" si="19"/>
        <v>0.90738840785027786</v>
      </c>
      <c r="BQ147" s="6"/>
      <c r="BR147" s="6"/>
      <c r="BS147" s="2" t="s">
        <v>295</v>
      </c>
      <c r="BT147" s="52" t="s">
        <v>332</v>
      </c>
    </row>
    <row r="148" spans="1:72">
      <c r="A148" s="2">
        <v>218881</v>
      </c>
      <c r="B148" s="2" t="s">
        <v>323</v>
      </c>
      <c r="C148" s="2" t="s">
        <v>331</v>
      </c>
      <c r="D148" s="2" t="s">
        <v>429</v>
      </c>
      <c r="E148" s="2">
        <v>2800</v>
      </c>
      <c r="F148" s="5">
        <v>50.79</v>
      </c>
      <c r="G148" s="5">
        <v>0.42</v>
      </c>
      <c r="H148" s="5">
        <v>10.83</v>
      </c>
      <c r="I148" s="5">
        <v>9.99</v>
      </c>
      <c r="J148" s="5">
        <v>0.17</v>
      </c>
      <c r="K148" s="5">
        <v>14.66</v>
      </c>
      <c r="L148" s="5">
        <v>8.92</v>
      </c>
      <c r="M148" s="5">
        <v>1.01</v>
      </c>
      <c r="N148" s="5">
        <v>0.25</v>
      </c>
      <c r="O148" s="5">
        <v>4.4999999999999998E-2</v>
      </c>
      <c r="P148" s="5">
        <v>2.8</v>
      </c>
      <c r="Q148" s="5">
        <f t="shared" si="15"/>
        <v>97.085000000000008</v>
      </c>
      <c r="R148" s="5">
        <f t="shared" si="16"/>
        <v>74.404281604901385</v>
      </c>
      <c r="S148" s="5">
        <f t="shared" si="17"/>
        <v>2517.2655565293599</v>
      </c>
      <c r="T148" s="5"/>
      <c r="U148" s="5"/>
      <c r="V148" s="5"/>
      <c r="W148" s="5">
        <v>217</v>
      </c>
      <c r="X148" s="5">
        <v>1324</v>
      </c>
      <c r="Y148" s="5">
        <v>59</v>
      </c>
      <c r="Z148" s="5">
        <v>374</v>
      </c>
      <c r="AA148" s="5"/>
      <c r="AB148" s="5"/>
      <c r="AC148" s="5"/>
      <c r="AD148" s="5">
        <v>12.5</v>
      </c>
      <c r="AE148" s="5">
        <v>70</v>
      </c>
      <c r="AF148" s="5">
        <v>11.6</v>
      </c>
      <c r="AG148" s="5">
        <v>29</v>
      </c>
      <c r="AH148" s="5">
        <v>0.9</v>
      </c>
      <c r="AI148" s="5"/>
      <c r="AJ148" s="5"/>
      <c r="AK148" s="5">
        <v>91.2</v>
      </c>
      <c r="AL148" s="5">
        <v>1.4</v>
      </c>
      <c r="AM148" s="5">
        <v>3.8</v>
      </c>
      <c r="AN148" s="5">
        <v>0.5</v>
      </c>
      <c r="AO148" s="5">
        <v>2.7</v>
      </c>
      <c r="AP148" s="5"/>
      <c r="AQ148" s="5">
        <v>0.4</v>
      </c>
      <c r="AR148" s="5">
        <v>1.3</v>
      </c>
      <c r="AS148" s="5">
        <v>0.3</v>
      </c>
      <c r="AT148" s="5">
        <v>2.2999999999999998</v>
      </c>
      <c r="AU148" s="5">
        <v>0.5</v>
      </c>
      <c r="AV148" s="5">
        <v>1.7</v>
      </c>
      <c r="AW148" s="5">
        <v>0.2</v>
      </c>
      <c r="AX148" s="5">
        <v>1.4</v>
      </c>
      <c r="AY148" s="5">
        <v>0.3</v>
      </c>
      <c r="AZ148" s="5">
        <v>0.7</v>
      </c>
      <c r="BA148" s="5"/>
      <c r="BB148" s="5"/>
      <c r="BC148" s="5"/>
      <c r="BD148" s="5">
        <v>0.5</v>
      </c>
      <c r="BE148" s="5"/>
      <c r="BF148" s="5">
        <v>4.0999999999999996</v>
      </c>
      <c r="BG148" s="5">
        <v>16.8</v>
      </c>
      <c r="BH148" s="5">
        <v>0.619414946904428</v>
      </c>
      <c r="BI148" s="5">
        <f t="shared" si="18"/>
        <v>52.876482352941181</v>
      </c>
      <c r="BJ148" s="5">
        <v>25.785714285714299</v>
      </c>
      <c r="BK148" s="5">
        <f t="shared" si="14"/>
        <v>0.71729957805907174</v>
      </c>
      <c r="BL148" s="5">
        <v>0.76816127911018395</v>
      </c>
      <c r="BM148" s="98">
        <v>1264.0474029484601</v>
      </c>
      <c r="BN148" s="5">
        <v>0.90037183674506904</v>
      </c>
      <c r="BO148" s="6">
        <v>0.88199999999989098</v>
      </c>
      <c r="BP148" s="6">
        <f t="shared" si="19"/>
        <v>0.84214873469791862</v>
      </c>
      <c r="BQ148" s="6"/>
      <c r="BR148" s="6"/>
      <c r="BS148" s="2" t="s">
        <v>295</v>
      </c>
      <c r="BT148" s="52" t="s">
        <v>332</v>
      </c>
    </row>
    <row r="149" spans="1:72">
      <c r="A149" s="2">
        <v>218882</v>
      </c>
      <c r="B149" s="2" t="s">
        <v>323</v>
      </c>
      <c r="C149" s="2" t="s">
        <v>331</v>
      </c>
      <c r="D149" s="2" t="s">
        <v>429</v>
      </c>
      <c r="E149" s="2">
        <v>2800</v>
      </c>
      <c r="F149" s="5">
        <v>50.42</v>
      </c>
      <c r="G149" s="5">
        <v>0.4</v>
      </c>
      <c r="H149" s="5">
        <v>10.57</v>
      </c>
      <c r="I149" s="5">
        <v>10.199999999999999</v>
      </c>
      <c r="J149" s="5">
        <v>0.17</v>
      </c>
      <c r="K149" s="5">
        <v>13.79</v>
      </c>
      <c r="L149" s="5">
        <v>10.79</v>
      </c>
      <c r="M149" s="5">
        <v>1.1499999999999999</v>
      </c>
      <c r="N149" s="5">
        <v>0.06</v>
      </c>
      <c r="O149" s="5">
        <v>3.6999999999999998E-2</v>
      </c>
      <c r="P149" s="5">
        <v>1.88</v>
      </c>
      <c r="Q149" s="5">
        <f t="shared" si="15"/>
        <v>97.587000000000018</v>
      </c>
      <c r="R149" s="5">
        <f t="shared" si="16"/>
        <v>72.812023591981315</v>
      </c>
      <c r="S149" s="5">
        <f t="shared" si="17"/>
        <v>2397.3957681232</v>
      </c>
      <c r="T149" s="5"/>
      <c r="U149" s="5"/>
      <c r="V149" s="5"/>
      <c r="W149" s="5">
        <v>205</v>
      </c>
      <c r="X149" s="5">
        <v>1297</v>
      </c>
      <c r="Y149" s="5">
        <v>57</v>
      </c>
      <c r="Z149" s="5">
        <v>365</v>
      </c>
      <c r="AA149" s="5"/>
      <c r="AB149" s="5"/>
      <c r="AC149" s="5"/>
      <c r="AD149" s="5">
        <v>1.5</v>
      </c>
      <c r="AE149" s="5">
        <v>113.1</v>
      </c>
      <c r="AF149" s="5">
        <v>12.2</v>
      </c>
      <c r="AG149" s="5">
        <v>27</v>
      </c>
      <c r="AH149" s="5">
        <v>0.8</v>
      </c>
      <c r="AI149" s="5"/>
      <c r="AJ149" s="5"/>
      <c r="AK149" s="5">
        <v>31</v>
      </c>
      <c r="AL149" s="5">
        <v>2</v>
      </c>
      <c r="AM149" s="5">
        <v>4.3</v>
      </c>
      <c r="AN149" s="5">
        <v>0.6</v>
      </c>
      <c r="AO149" s="5">
        <v>2.7</v>
      </c>
      <c r="AP149" s="5"/>
      <c r="AQ149" s="5">
        <v>0.4</v>
      </c>
      <c r="AR149" s="5">
        <v>1.4</v>
      </c>
      <c r="AS149" s="5">
        <v>0.3</v>
      </c>
      <c r="AT149" s="5">
        <v>2.1</v>
      </c>
      <c r="AU149" s="5">
        <v>0.5</v>
      </c>
      <c r="AV149" s="5">
        <v>1.5</v>
      </c>
      <c r="AW149" s="5">
        <v>0.2</v>
      </c>
      <c r="AX149" s="5">
        <v>1.5</v>
      </c>
      <c r="AY149" s="5">
        <v>0.2</v>
      </c>
      <c r="AZ149" s="5">
        <v>0.8</v>
      </c>
      <c r="BA149" s="5"/>
      <c r="BB149" s="5"/>
      <c r="BC149" s="5"/>
      <c r="BD149" s="5">
        <v>0.5</v>
      </c>
      <c r="BE149" s="5"/>
      <c r="BF149" s="5">
        <v>3.9</v>
      </c>
      <c r="BG149" s="5">
        <v>17.7</v>
      </c>
      <c r="BH149" s="5">
        <v>0.38541374474053303</v>
      </c>
      <c r="BI149" s="5">
        <f t="shared" si="18"/>
        <v>53.988</v>
      </c>
      <c r="BJ149" s="5">
        <v>26.425000000000001</v>
      </c>
      <c r="BK149" s="5">
        <f t="shared" si="14"/>
        <v>0.95639943741209577</v>
      </c>
      <c r="BL149" s="5">
        <v>0.77210056772100599</v>
      </c>
      <c r="BM149" s="98">
        <v>1277.5781839691899</v>
      </c>
      <c r="BN149" s="5">
        <v>0.99564241021264599</v>
      </c>
      <c r="BO149" s="6">
        <v>0.59199999999989095</v>
      </c>
      <c r="BP149" s="6">
        <f t="shared" si="19"/>
        <v>0.59025696408494932</v>
      </c>
      <c r="BQ149" s="6"/>
      <c r="BR149" s="6"/>
      <c r="BS149" s="2" t="s">
        <v>295</v>
      </c>
      <c r="BT149" s="52" t="s">
        <v>332</v>
      </c>
    </row>
    <row r="150" spans="1:72">
      <c r="A150" s="2">
        <v>218885</v>
      </c>
      <c r="B150" s="2" t="s">
        <v>323</v>
      </c>
      <c r="C150" s="2" t="s">
        <v>331</v>
      </c>
      <c r="D150" s="2" t="s">
        <v>429</v>
      </c>
      <c r="E150" s="2">
        <v>2800</v>
      </c>
      <c r="F150" s="5">
        <v>50.54</v>
      </c>
      <c r="G150" s="5">
        <v>0.42</v>
      </c>
      <c r="H150" s="5">
        <v>10.67</v>
      </c>
      <c r="I150" s="5">
        <v>10.06</v>
      </c>
      <c r="J150" s="5">
        <v>0.2</v>
      </c>
      <c r="K150" s="5">
        <v>13.14</v>
      </c>
      <c r="L150" s="5">
        <v>11.98</v>
      </c>
      <c r="M150" s="5">
        <v>1.21</v>
      </c>
      <c r="N150" s="5">
        <v>0.22</v>
      </c>
      <c r="O150" s="5">
        <v>3.9E-2</v>
      </c>
      <c r="P150" s="5">
        <v>1.45</v>
      </c>
      <c r="Q150" s="5">
        <f t="shared" si="15"/>
        <v>98.478999999999999</v>
      </c>
      <c r="R150" s="5">
        <f t="shared" si="16"/>
        <v>72.124470251746757</v>
      </c>
      <c r="S150" s="5">
        <f t="shared" si="17"/>
        <v>2517.2655565293599</v>
      </c>
      <c r="T150" s="5"/>
      <c r="U150" s="5"/>
      <c r="V150" s="5"/>
      <c r="W150" s="5">
        <v>216</v>
      </c>
      <c r="X150" s="5">
        <v>1317</v>
      </c>
      <c r="Y150" s="5">
        <v>95</v>
      </c>
      <c r="Z150" s="5">
        <v>382</v>
      </c>
      <c r="AA150" s="5"/>
      <c r="AB150" s="5"/>
      <c r="AC150" s="5"/>
      <c r="AD150" s="5">
        <v>11.5</v>
      </c>
      <c r="AE150" s="5">
        <v>71</v>
      </c>
      <c r="AF150" s="5">
        <v>10.9</v>
      </c>
      <c r="AG150" s="5">
        <v>29</v>
      </c>
      <c r="AH150" s="5">
        <v>0.8</v>
      </c>
      <c r="AI150" s="5"/>
      <c r="AJ150" s="5"/>
      <c r="AK150" s="5">
        <v>38.299999999999997</v>
      </c>
      <c r="AL150" s="5">
        <v>1.8</v>
      </c>
      <c r="AM150" s="5">
        <v>3.9</v>
      </c>
      <c r="AN150" s="5">
        <v>0.6</v>
      </c>
      <c r="AO150" s="5">
        <v>2.8</v>
      </c>
      <c r="AP150" s="5"/>
      <c r="AQ150" s="5">
        <v>0.5</v>
      </c>
      <c r="AR150" s="5">
        <v>1.1000000000000001</v>
      </c>
      <c r="AS150" s="5">
        <v>0.2</v>
      </c>
      <c r="AT150" s="5">
        <v>1.8</v>
      </c>
      <c r="AU150" s="5">
        <v>0.5</v>
      </c>
      <c r="AV150" s="5">
        <v>1.5</v>
      </c>
      <c r="AW150" s="5">
        <v>0.2</v>
      </c>
      <c r="AX150" s="5">
        <v>1.6</v>
      </c>
      <c r="AY150" s="5">
        <v>0.1</v>
      </c>
      <c r="AZ150" s="5">
        <v>0.8</v>
      </c>
      <c r="BA150" s="5"/>
      <c r="BB150" s="5"/>
      <c r="BC150" s="5"/>
      <c r="BD150" s="5">
        <v>0.5</v>
      </c>
      <c r="BE150" s="5"/>
      <c r="BF150" s="5">
        <v>3.9</v>
      </c>
      <c r="BG150" s="5">
        <v>16.600000000000001</v>
      </c>
      <c r="BH150" s="5">
        <v>0.42823749415614798</v>
      </c>
      <c r="BI150" s="5">
        <f t="shared" si="18"/>
        <v>45.259940000000007</v>
      </c>
      <c r="BJ150" s="5">
        <v>25.404761904761902</v>
      </c>
      <c r="BK150" s="5">
        <f t="shared" si="14"/>
        <v>0.80696202531645578</v>
      </c>
      <c r="BL150" s="5">
        <v>0.56873479318734799</v>
      </c>
      <c r="BM150" s="98">
        <v>1275.8417541614799</v>
      </c>
      <c r="BN150" s="5">
        <v>1.0252588703290899</v>
      </c>
      <c r="BO150" s="6">
        <v>0.73799999999989097</v>
      </c>
      <c r="BP150" s="6">
        <f t="shared" si="19"/>
        <v>0.74810354813152691</v>
      </c>
      <c r="BQ150" s="6"/>
      <c r="BR150" s="6"/>
      <c r="BS150" s="2" t="s">
        <v>295</v>
      </c>
      <c r="BT150" s="52" t="s">
        <v>332</v>
      </c>
    </row>
    <row r="151" spans="1:72">
      <c r="A151" s="2">
        <v>218886</v>
      </c>
      <c r="B151" s="2" t="s">
        <v>323</v>
      </c>
      <c r="C151" s="2" t="s">
        <v>331</v>
      </c>
      <c r="D151" s="2" t="s">
        <v>429</v>
      </c>
      <c r="E151" s="2">
        <v>2800</v>
      </c>
      <c r="F151" s="5">
        <v>50.66</v>
      </c>
      <c r="G151" s="5">
        <v>0.43</v>
      </c>
      <c r="H151" s="5">
        <v>10.93</v>
      </c>
      <c r="I151" s="5">
        <v>10.24</v>
      </c>
      <c r="J151" s="5">
        <v>0.17</v>
      </c>
      <c r="K151" s="5">
        <v>14.35</v>
      </c>
      <c r="L151" s="5">
        <v>9</v>
      </c>
      <c r="M151" s="5">
        <v>1.2</v>
      </c>
      <c r="N151" s="5">
        <v>0.16</v>
      </c>
      <c r="O151" s="5">
        <v>4.5999999999999999E-2</v>
      </c>
      <c r="P151" s="5">
        <v>2.89</v>
      </c>
      <c r="Q151" s="5">
        <f t="shared" si="15"/>
        <v>97.185999999999993</v>
      </c>
      <c r="R151" s="5">
        <f t="shared" si="16"/>
        <v>73.516707291229508</v>
      </c>
      <c r="S151" s="5">
        <f t="shared" si="17"/>
        <v>2577.20045073244</v>
      </c>
      <c r="T151" s="5"/>
      <c r="U151" s="5"/>
      <c r="V151" s="5"/>
      <c r="W151" s="5">
        <v>212</v>
      </c>
      <c r="X151" s="5">
        <v>1196</v>
      </c>
      <c r="Y151" s="5">
        <v>60</v>
      </c>
      <c r="Z151" s="5">
        <v>355</v>
      </c>
      <c r="AA151" s="5"/>
      <c r="AB151" s="5"/>
      <c r="AC151" s="5"/>
      <c r="AD151" s="5">
        <v>7.2</v>
      </c>
      <c r="AE151" s="5">
        <v>50.5</v>
      </c>
      <c r="AF151" s="5">
        <v>11.9</v>
      </c>
      <c r="AG151" s="5">
        <v>30</v>
      </c>
      <c r="AH151" s="5">
        <v>0.9</v>
      </c>
      <c r="AI151" s="5"/>
      <c r="AJ151" s="5"/>
      <c r="AK151" s="5">
        <v>45.9</v>
      </c>
      <c r="AL151" s="5">
        <v>1.9</v>
      </c>
      <c r="AM151" s="5">
        <v>4.9000000000000004</v>
      </c>
      <c r="AN151" s="5">
        <v>0.6</v>
      </c>
      <c r="AO151" s="5">
        <v>2.7</v>
      </c>
      <c r="AP151" s="5"/>
      <c r="AQ151" s="5">
        <v>0.4</v>
      </c>
      <c r="AR151" s="5">
        <v>1.5</v>
      </c>
      <c r="AS151" s="5">
        <v>0.3</v>
      </c>
      <c r="AT151" s="5">
        <v>2.1</v>
      </c>
      <c r="AU151" s="5">
        <v>0.5</v>
      </c>
      <c r="AV151" s="5">
        <v>1.3</v>
      </c>
      <c r="AW151" s="5">
        <v>0.2</v>
      </c>
      <c r="AX151" s="5">
        <v>1.4</v>
      </c>
      <c r="AY151" s="5">
        <v>0.2</v>
      </c>
      <c r="AZ151" s="5">
        <v>0.9</v>
      </c>
      <c r="BA151" s="5"/>
      <c r="BB151" s="5"/>
      <c r="BC151" s="5"/>
      <c r="BD151" s="5">
        <v>0.6</v>
      </c>
      <c r="BE151" s="5"/>
      <c r="BF151" s="5">
        <v>3.6</v>
      </c>
      <c r="BG151" s="5">
        <v>18</v>
      </c>
      <c r="BH151" s="5">
        <v>0.45641101350852598</v>
      </c>
      <c r="BI151" s="5">
        <f t="shared" si="18"/>
        <v>54.199717647058826</v>
      </c>
      <c r="BJ151" s="5">
        <v>25.418604651162799</v>
      </c>
      <c r="BK151" s="5">
        <f t="shared" si="14"/>
        <v>0.97347799879445462</v>
      </c>
      <c r="BL151" s="5">
        <v>0.88633993743482797</v>
      </c>
      <c r="BM151" s="98">
        <v>1275.7847031767801</v>
      </c>
      <c r="BN151" s="5">
        <v>0.98666523135358097</v>
      </c>
      <c r="BO151" s="6">
        <v>0.653999999999891</v>
      </c>
      <c r="BP151" s="6">
        <f t="shared" si="19"/>
        <v>0.64866609254132335</v>
      </c>
      <c r="BQ151" s="6"/>
      <c r="BR151" s="6"/>
      <c r="BS151" s="2" t="s">
        <v>295</v>
      </c>
      <c r="BT151" s="52" t="s">
        <v>332</v>
      </c>
    </row>
    <row r="152" spans="1:72">
      <c r="A152" s="2">
        <v>218887</v>
      </c>
      <c r="B152" s="2" t="s">
        <v>323</v>
      </c>
      <c r="C152" s="2" t="s">
        <v>331</v>
      </c>
      <c r="D152" s="2" t="s">
        <v>429</v>
      </c>
      <c r="E152" s="2">
        <v>2800</v>
      </c>
      <c r="F152" s="5">
        <v>50.65</v>
      </c>
      <c r="G152" s="5">
        <v>0.43</v>
      </c>
      <c r="H152" s="5">
        <v>11.05</v>
      </c>
      <c r="I152" s="5">
        <v>9.99</v>
      </c>
      <c r="J152" s="5">
        <v>0.16</v>
      </c>
      <c r="K152" s="5">
        <v>14.43</v>
      </c>
      <c r="L152" s="5">
        <v>8.99</v>
      </c>
      <c r="M152" s="5">
        <v>1.18</v>
      </c>
      <c r="N152" s="5">
        <v>0.2</v>
      </c>
      <c r="O152" s="5">
        <v>4.2000000000000003E-2</v>
      </c>
      <c r="P152" s="5">
        <v>2.74</v>
      </c>
      <c r="Q152" s="5">
        <f t="shared" si="15"/>
        <v>97.121999999999986</v>
      </c>
      <c r="R152" s="5">
        <f t="shared" si="16"/>
        <v>74.101967390993977</v>
      </c>
      <c r="S152" s="5">
        <f t="shared" si="17"/>
        <v>2577.20045073244</v>
      </c>
      <c r="T152" s="5"/>
      <c r="U152" s="5"/>
      <c r="V152" s="5"/>
      <c r="W152" s="5">
        <v>223</v>
      </c>
      <c r="X152" s="5">
        <v>1244</v>
      </c>
      <c r="Y152" s="5">
        <v>59</v>
      </c>
      <c r="Z152" s="5">
        <v>361</v>
      </c>
      <c r="AA152" s="5"/>
      <c r="AB152" s="5"/>
      <c r="AC152" s="5"/>
      <c r="AD152" s="5">
        <v>10.199999999999999</v>
      </c>
      <c r="AE152" s="5">
        <v>78.400000000000006</v>
      </c>
      <c r="AF152" s="5">
        <v>12.6</v>
      </c>
      <c r="AG152" s="5">
        <v>29</v>
      </c>
      <c r="AH152" s="5">
        <v>1</v>
      </c>
      <c r="AI152" s="5"/>
      <c r="AJ152" s="5"/>
      <c r="AK152" s="5">
        <v>168.4</v>
      </c>
      <c r="AL152" s="5">
        <v>1.9</v>
      </c>
      <c r="AM152" s="5">
        <v>4.9000000000000004</v>
      </c>
      <c r="AN152" s="5">
        <v>0.7</v>
      </c>
      <c r="AO152" s="5">
        <v>3.2</v>
      </c>
      <c r="AP152" s="5"/>
      <c r="AQ152" s="5">
        <v>0.3</v>
      </c>
      <c r="AR152" s="5">
        <v>2</v>
      </c>
      <c r="AS152" s="5">
        <v>0.3</v>
      </c>
      <c r="AT152" s="5">
        <v>1.8</v>
      </c>
      <c r="AU152" s="5">
        <v>0.4</v>
      </c>
      <c r="AV152" s="5">
        <v>1.2</v>
      </c>
      <c r="AW152" s="5">
        <v>0.3</v>
      </c>
      <c r="AX152" s="5">
        <v>1.4</v>
      </c>
      <c r="AY152" s="5">
        <v>0.2</v>
      </c>
      <c r="AZ152" s="5">
        <v>1</v>
      </c>
      <c r="BA152" s="5"/>
      <c r="BB152" s="5"/>
      <c r="BC152" s="5"/>
      <c r="BD152" s="5">
        <v>0.6</v>
      </c>
      <c r="BE152" s="5"/>
      <c r="BF152" s="5">
        <v>3.5</v>
      </c>
      <c r="BG152" s="5">
        <v>18.600000000000001</v>
      </c>
      <c r="BH152" s="5">
        <v>0.50712334834280703</v>
      </c>
      <c r="BI152" s="5">
        <f t="shared" si="18"/>
        <v>56.181262500000003</v>
      </c>
      <c r="BJ152" s="5">
        <v>25.697674418604699</v>
      </c>
      <c r="BK152" s="5">
        <f t="shared" si="14"/>
        <v>0.97347799879445462</v>
      </c>
      <c r="BL152" s="5">
        <v>1.18178658324644</v>
      </c>
      <c r="BM152" s="98">
        <v>1264.8265572201101</v>
      </c>
      <c r="BN152" s="5">
        <v>0.934073698825027</v>
      </c>
      <c r="BO152" s="6">
        <v>0.94699999999989104</v>
      </c>
      <c r="BP152" s="6">
        <f t="shared" si="19"/>
        <v>0.92062947952990182</v>
      </c>
      <c r="BQ152" s="6"/>
      <c r="BR152" s="6"/>
      <c r="BS152" s="2" t="s">
        <v>295</v>
      </c>
      <c r="BT152" s="52" t="s">
        <v>332</v>
      </c>
    </row>
    <row r="153" spans="1:72">
      <c r="A153" s="2">
        <v>218891</v>
      </c>
      <c r="B153" s="2" t="s">
        <v>323</v>
      </c>
      <c r="C153" s="2" t="s">
        <v>331</v>
      </c>
      <c r="D153" s="2" t="s">
        <v>429</v>
      </c>
      <c r="E153" s="2">
        <v>2800</v>
      </c>
      <c r="F153" s="5">
        <v>50.49</v>
      </c>
      <c r="G153" s="5">
        <v>0.42</v>
      </c>
      <c r="H153" s="5">
        <v>10.97</v>
      </c>
      <c r="I153" s="5">
        <v>9.61</v>
      </c>
      <c r="J153" s="5">
        <v>0.19</v>
      </c>
      <c r="K153" s="5">
        <v>14.08</v>
      </c>
      <c r="L153" s="5">
        <v>10.48</v>
      </c>
      <c r="M153" s="5">
        <v>1.34</v>
      </c>
      <c r="N153" s="5">
        <v>0.13</v>
      </c>
      <c r="O153" s="5">
        <v>4.3999999999999997E-2</v>
      </c>
      <c r="P153" s="5">
        <v>2.35</v>
      </c>
      <c r="Q153" s="5">
        <f t="shared" si="15"/>
        <v>97.754000000000005</v>
      </c>
      <c r="R153" s="5">
        <f t="shared" si="16"/>
        <v>74.374047037208129</v>
      </c>
      <c r="S153" s="5">
        <f t="shared" si="17"/>
        <v>2517.2655565293599</v>
      </c>
      <c r="T153" s="5"/>
      <c r="U153" s="5"/>
      <c r="V153" s="5"/>
      <c r="W153" s="5">
        <v>219</v>
      </c>
      <c r="X153" s="5">
        <v>1305</v>
      </c>
      <c r="Y153" s="5">
        <v>56</v>
      </c>
      <c r="Z153" s="5">
        <v>368</v>
      </c>
      <c r="AA153" s="5"/>
      <c r="AB153" s="5"/>
      <c r="AC153" s="5"/>
      <c r="AD153" s="5">
        <v>6.8</v>
      </c>
      <c r="AE153" s="5">
        <v>69.099999999999994</v>
      </c>
      <c r="AF153" s="5">
        <v>11.8</v>
      </c>
      <c r="AG153" s="5">
        <v>30</v>
      </c>
      <c r="AH153" s="5">
        <v>0.8</v>
      </c>
      <c r="AI153" s="5"/>
      <c r="AJ153" s="5"/>
      <c r="AK153" s="5">
        <v>83</v>
      </c>
      <c r="AL153" s="5">
        <v>1.5</v>
      </c>
      <c r="AM153" s="5">
        <v>3.5</v>
      </c>
      <c r="AN153" s="5">
        <v>0.6</v>
      </c>
      <c r="AO153" s="5">
        <v>2.9</v>
      </c>
      <c r="AP153" s="5"/>
      <c r="AQ153" s="5">
        <v>0.4</v>
      </c>
      <c r="AR153" s="5">
        <v>1.4</v>
      </c>
      <c r="AS153" s="5">
        <v>0.3</v>
      </c>
      <c r="AT153" s="5">
        <v>2.1</v>
      </c>
      <c r="AU153" s="5">
        <v>0.5</v>
      </c>
      <c r="AV153" s="5">
        <v>1.1000000000000001</v>
      </c>
      <c r="AW153" s="5">
        <v>0.2</v>
      </c>
      <c r="AX153" s="5">
        <v>1.6</v>
      </c>
      <c r="AY153" s="5">
        <v>0.2</v>
      </c>
      <c r="AZ153" s="5">
        <v>0.8</v>
      </c>
      <c r="BA153" s="5"/>
      <c r="BB153" s="5"/>
      <c r="BC153" s="5"/>
      <c r="BD153" s="5">
        <v>0.5</v>
      </c>
      <c r="BE153" s="5"/>
      <c r="BF153" s="5">
        <v>3.6</v>
      </c>
      <c r="BG153" s="5">
        <v>16.3</v>
      </c>
      <c r="BH153" s="5">
        <v>0.513884992987377</v>
      </c>
      <c r="BI153" s="5">
        <f t="shared" si="18"/>
        <v>45.510936842105266</v>
      </c>
      <c r="BJ153" s="5">
        <v>26.119047619047599</v>
      </c>
      <c r="BK153" s="5">
        <f t="shared" si="14"/>
        <v>0.67246835443037967</v>
      </c>
      <c r="BL153" s="5">
        <v>0.72384428223844299</v>
      </c>
      <c r="BM153" s="98">
        <v>1257.6822737059999</v>
      </c>
      <c r="BN153" s="5">
        <v>0.93882221506983798</v>
      </c>
      <c r="BO153" s="6">
        <v>0.98999999999989197</v>
      </c>
      <c r="BP153" s="6">
        <f t="shared" si="19"/>
        <v>0.96552888602782716</v>
      </c>
      <c r="BQ153" s="6"/>
      <c r="BR153" s="6"/>
      <c r="BS153" s="2" t="s">
        <v>295</v>
      </c>
      <c r="BT153" s="52" t="s">
        <v>332</v>
      </c>
    </row>
    <row r="154" spans="1:72">
      <c r="A154" s="2">
        <v>218892</v>
      </c>
      <c r="B154" s="2" t="s">
        <v>323</v>
      </c>
      <c r="C154" s="2" t="s">
        <v>331</v>
      </c>
      <c r="D154" s="2" t="s">
        <v>429</v>
      </c>
      <c r="E154" s="2">
        <v>2800</v>
      </c>
      <c r="F154" s="5">
        <v>49.71</v>
      </c>
      <c r="G154" s="5">
        <v>0.41</v>
      </c>
      <c r="H154" s="5">
        <v>10.52</v>
      </c>
      <c r="I154" s="5">
        <v>9.89</v>
      </c>
      <c r="J154" s="5">
        <v>0.18</v>
      </c>
      <c r="K154" s="5">
        <v>15.6</v>
      </c>
      <c r="L154" s="5">
        <v>9.31</v>
      </c>
      <c r="M154" s="5">
        <v>1.07</v>
      </c>
      <c r="N154" s="5">
        <v>0.09</v>
      </c>
      <c r="O154" s="5">
        <v>4.2000000000000003E-2</v>
      </c>
      <c r="P154" s="5">
        <v>3.05</v>
      </c>
      <c r="Q154" s="5">
        <f t="shared" si="15"/>
        <v>96.822000000000003</v>
      </c>
      <c r="R154" s="5">
        <f t="shared" si="16"/>
        <v>75.755055612759008</v>
      </c>
      <c r="S154" s="5">
        <f t="shared" si="17"/>
        <v>2457.3306623262797</v>
      </c>
      <c r="T154" s="5"/>
      <c r="U154" s="5"/>
      <c r="V154" s="5"/>
      <c r="W154" s="5">
        <v>218</v>
      </c>
      <c r="X154" s="5">
        <v>1473</v>
      </c>
      <c r="Y154" s="5">
        <v>60</v>
      </c>
      <c r="Z154" s="5">
        <v>437</v>
      </c>
      <c r="AA154" s="5"/>
      <c r="AB154" s="5"/>
      <c r="AC154" s="5"/>
      <c r="AD154" s="5">
        <v>6</v>
      </c>
      <c r="AE154" s="5">
        <v>59.6</v>
      </c>
      <c r="AF154" s="5">
        <v>11.8</v>
      </c>
      <c r="AG154" s="5">
        <v>28</v>
      </c>
      <c r="AH154" s="5">
        <v>0.9</v>
      </c>
      <c r="AI154" s="5"/>
      <c r="AJ154" s="5"/>
      <c r="AK154" s="5">
        <v>241.2</v>
      </c>
      <c r="AL154" s="5">
        <v>1.4</v>
      </c>
      <c r="AM154" s="5">
        <v>3.1</v>
      </c>
      <c r="AN154" s="5">
        <v>0.5</v>
      </c>
      <c r="AO154" s="5">
        <v>2.4</v>
      </c>
      <c r="AP154" s="5"/>
      <c r="AQ154" s="5">
        <v>0.4</v>
      </c>
      <c r="AR154" s="5">
        <v>1.9</v>
      </c>
      <c r="AS154" s="5">
        <v>0.3</v>
      </c>
      <c r="AT154" s="5">
        <v>2</v>
      </c>
      <c r="AU154" s="5">
        <v>0.5</v>
      </c>
      <c r="AV154" s="5">
        <v>1.2</v>
      </c>
      <c r="AW154" s="5">
        <v>0.2</v>
      </c>
      <c r="AX154" s="5">
        <v>1.3</v>
      </c>
      <c r="AY154" s="5">
        <v>0.2</v>
      </c>
      <c r="AZ154" s="5">
        <v>0.9</v>
      </c>
      <c r="BA154" s="5"/>
      <c r="BB154" s="5"/>
      <c r="BC154" s="5"/>
      <c r="BD154" s="5">
        <v>0.5</v>
      </c>
      <c r="BE154" s="5"/>
      <c r="BF154" s="5">
        <v>3.4</v>
      </c>
      <c r="BG154" s="5">
        <v>15.4</v>
      </c>
      <c r="BH154" s="5">
        <v>0.619414946904428</v>
      </c>
      <c r="BI154" s="5">
        <f t="shared" si="18"/>
        <v>49.439011111111114</v>
      </c>
      <c r="BJ154" s="5">
        <v>25.658536585365901</v>
      </c>
      <c r="BK154" s="5">
        <f t="shared" si="14"/>
        <v>0.77247646867900033</v>
      </c>
      <c r="BL154" s="5">
        <v>1.2090585813213599</v>
      </c>
      <c r="BM154" s="98">
        <v>1268.1538246042501</v>
      </c>
      <c r="BN154" s="5">
        <v>0.98606221502550795</v>
      </c>
      <c r="BO154" s="6">
        <v>0.87799999999989098</v>
      </c>
      <c r="BP154" s="6">
        <f t="shared" si="19"/>
        <v>0.87242488601009416</v>
      </c>
      <c r="BQ154" s="6"/>
      <c r="BR154" s="6"/>
      <c r="BS154" s="2" t="s">
        <v>295</v>
      </c>
      <c r="BT154" s="52" t="s">
        <v>332</v>
      </c>
    </row>
    <row r="155" spans="1:72">
      <c r="A155" s="2">
        <v>221621</v>
      </c>
      <c r="B155" s="2" t="s">
        <v>323</v>
      </c>
      <c r="C155" s="2" t="s">
        <v>331</v>
      </c>
      <c r="D155" s="2" t="s">
        <v>429</v>
      </c>
      <c r="E155" s="2">
        <v>2800</v>
      </c>
      <c r="F155" s="5">
        <v>52.84</v>
      </c>
      <c r="G155" s="5">
        <v>0.47</v>
      </c>
      <c r="H155" s="5">
        <v>11.58</v>
      </c>
      <c r="I155" s="5">
        <v>10.16</v>
      </c>
      <c r="J155" s="5">
        <v>0.14000000000000001</v>
      </c>
      <c r="K155" s="5">
        <v>13.1</v>
      </c>
      <c r="L155" s="5">
        <v>8.3800000000000008</v>
      </c>
      <c r="M155" s="5">
        <v>1.19</v>
      </c>
      <c r="N155" s="5">
        <v>0.08</v>
      </c>
      <c r="O155" s="5">
        <v>0.04</v>
      </c>
      <c r="P155" s="5">
        <v>2.21</v>
      </c>
      <c r="Q155" s="5">
        <f t="shared" si="15"/>
        <v>97.97999999999999</v>
      </c>
      <c r="R155" s="5">
        <f t="shared" si="16"/>
        <v>71.863566020140638</v>
      </c>
      <c r="S155" s="5">
        <f t="shared" si="17"/>
        <v>2816.9400275447601</v>
      </c>
      <c r="T155" s="5"/>
      <c r="U155" s="5"/>
      <c r="V155" s="5"/>
      <c r="W155" s="5">
        <v>240</v>
      </c>
      <c r="X155" s="5">
        <v>1180</v>
      </c>
      <c r="Y155" s="5">
        <v>49</v>
      </c>
      <c r="Z155" s="5">
        <v>285</v>
      </c>
      <c r="AA155" s="5"/>
      <c r="AB155" s="5"/>
      <c r="AC155" s="5"/>
      <c r="AD155" s="5">
        <v>5.0999999999999996</v>
      </c>
      <c r="AE155" s="5">
        <v>31.7</v>
      </c>
      <c r="AF155" s="5">
        <v>13.5</v>
      </c>
      <c r="AG155" s="5">
        <v>36</v>
      </c>
      <c r="AH155" s="5">
        <v>0.9</v>
      </c>
      <c r="AI155" s="5"/>
      <c r="AJ155" s="5">
        <v>1.1599999999999999</v>
      </c>
      <c r="AK155" s="5">
        <v>23</v>
      </c>
      <c r="AL155" s="5">
        <v>2.2000000000000002</v>
      </c>
      <c r="AM155" s="5">
        <v>4.9000000000000004</v>
      </c>
      <c r="AN155" s="5">
        <v>0.68</v>
      </c>
      <c r="AO155" s="5">
        <v>2.6</v>
      </c>
      <c r="AP155" s="5"/>
      <c r="AQ155" s="5">
        <v>0.35</v>
      </c>
      <c r="AR155" s="5">
        <v>1.93</v>
      </c>
      <c r="AS155" s="5">
        <v>0.32</v>
      </c>
      <c r="AT155" s="5">
        <v>2.19</v>
      </c>
      <c r="AU155" s="5">
        <v>0.55000000000000004</v>
      </c>
      <c r="AV155" s="5">
        <v>1.69</v>
      </c>
      <c r="AW155" s="5">
        <v>0.22</v>
      </c>
      <c r="AX155" s="5">
        <v>1.74</v>
      </c>
      <c r="AY155" s="5">
        <v>0.24</v>
      </c>
      <c r="AZ155" s="5">
        <v>1.1000000000000001</v>
      </c>
      <c r="BA155" s="5"/>
      <c r="BB155" s="5"/>
      <c r="BC155" s="5"/>
      <c r="BD155" s="5">
        <v>0.6</v>
      </c>
      <c r="BE155" s="5"/>
      <c r="BF155" s="5">
        <v>4.4400000000000004</v>
      </c>
      <c r="BG155" s="5">
        <v>19.61</v>
      </c>
      <c r="BH155" s="5">
        <v>0.39417314803009101</v>
      </c>
      <c r="BI155" s="5">
        <f t="shared" si="18"/>
        <v>65.299771428571418</v>
      </c>
      <c r="BJ155" s="5">
        <v>24.638297872340399</v>
      </c>
      <c r="BK155" s="5">
        <f t="shared" si="14"/>
        <v>0.90693050099422878</v>
      </c>
      <c r="BL155" s="5">
        <v>0.91758257124479103</v>
      </c>
      <c r="BM155" s="98">
        <v>1261.1089091597901</v>
      </c>
      <c r="BN155" s="5">
        <v>0.770845372314233</v>
      </c>
      <c r="BO155" s="6">
        <v>1.1469999999998799</v>
      </c>
      <c r="BP155" s="6">
        <f t="shared" si="19"/>
        <v>1.0553381489255731</v>
      </c>
      <c r="BQ155" s="6"/>
      <c r="BR155" s="6"/>
      <c r="BS155" s="2" t="s">
        <v>295</v>
      </c>
      <c r="BT155" s="52" t="s">
        <v>332</v>
      </c>
    </row>
    <row r="156" spans="1:72">
      <c r="A156" s="2">
        <v>221629</v>
      </c>
      <c r="B156" s="2" t="s">
        <v>323</v>
      </c>
      <c r="C156" s="2" t="s">
        <v>331</v>
      </c>
      <c r="D156" s="2" t="s">
        <v>429</v>
      </c>
      <c r="E156" s="2">
        <v>2800</v>
      </c>
      <c r="F156" s="5">
        <v>51.63</v>
      </c>
      <c r="G156" s="5">
        <v>0.46</v>
      </c>
      <c r="H156" s="5">
        <v>11.22</v>
      </c>
      <c r="I156" s="5">
        <v>10.06</v>
      </c>
      <c r="J156" s="5">
        <v>0.15</v>
      </c>
      <c r="K156" s="5">
        <v>13.75</v>
      </c>
      <c r="L156" s="5">
        <v>8.4700000000000006</v>
      </c>
      <c r="M156" s="5">
        <v>1.72</v>
      </c>
      <c r="N156" s="5">
        <v>0.11</v>
      </c>
      <c r="O156" s="5">
        <v>0.04</v>
      </c>
      <c r="P156" s="5">
        <v>2.48</v>
      </c>
      <c r="Q156" s="5">
        <f t="shared" si="15"/>
        <v>97.610000000000014</v>
      </c>
      <c r="R156" s="5">
        <f t="shared" si="16"/>
        <v>73.027572936782121</v>
      </c>
      <c r="S156" s="5">
        <f t="shared" si="17"/>
        <v>2757.00513334168</v>
      </c>
      <c r="T156" s="5"/>
      <c r="U156" s="5"/>
      <c r="V156" s="5"/>
      <c r="W156" s="5">
        <v>227</v>
      </c>
      <c r="X156" s="5">
        <v>1240</v>
      </c>
      <c r="Y156" s="5">
        <v>50</v>
      </c>
      <c r="Z156" s="5">
        <v>304</v>
      </c>
      <c r="AA156" s="5"/>
      <c r="AB156" s="5"/>
      <c r="AC156" s="5"/>
      <c r="AD156" s="5">
        <v>3.5</v>
      </c>
      <c r="AE156" s="5">
        <v>40.799999999999997</v>
      </c>
      <c r="AF156" s="5">
        <v>13.5</v>
      </c>
      <c r="AG156" s="5">
        <v>39</v>
      </c>
      <c r="AH156" s="5">
        <v>0.9</v>
      </c>
      <c r="AI156" s="5"/>
      <c r="AJ156" s="5">
        <v>0.28999999999999998</v>
      </c>
      <c r="AK156" s="5">
        <v>70.2</v>
      </c>
      <c r="AL156" s="5">
        <v>2.2999999999999998</v>
      </c>
      <c r="AM156" s="5">
        <v>5</v>
      </c>
      <c r="AN156" s="5">
        <v>0.67</v>
      </c>
      <c r="AO156" s="5">
        <v>2.8</v>
      </c>
      <c r="AP156" s="5"/>
      <c r="AQ156" s="5">
        <v>0.35</v>
      </c>
      <c r="AR156" s="5">
        <v>1.76</v>
      </c>
      <c r="AS156" s="5">
        <v>0.31</v>
      </c>
      <c r="AT156" s="5">
        <v>2.1</v>
      </c>
      <c r="AU156" s="5">
        <v>0.48</v>
      </c>
      <c r="AV156" s="5">
        <v>1.56</v>
      </c>
      <c r="AW156" s="5">
        <v>0.25</v>
      </c>
      <c r="AX156" s="5">
        <v>1.52</v>
      </c>
      <c r="AY156" s="5">
        <v>0.22</v>
      </c>
      <c r="AZ156" s="5">
        <v>1</v>
      </c>
      <c r="BA156" s="5"/>
      <c r="BB156" s="5"/>
      <c r="BC156" s="5"/>
      <c r="BD156" s="5">
        <v>0.54</v>
      </c>
      <c r="BE156" s="5"/>
      <c r="BF156" s="5">
        <v>4.03</v>
      </c>
      <c r="BG156" s="5">
        <v>19.32</v>
      </c>
      <c r="BH156" s="5">
        <v>0.37703518507226103</v>
      </c>
      <c r="BI156" s="5">
        <f t="shared" si="18"/>
        <v>60.346586666666681</v>
      </c>
      <c r="BJ156" s="5">
        <v>24.3913043478261</v>
      </c>
      <c r="BK156" s="5">
        <f t="shared" si="14"/>
        <v>1.0853875194314901</v>
      </c>
      <c r="BL156" s="5">
        <v>0.95786912536816504</v>
      </c>
      <c r="BM156" s="98">
        <v>1264.3138830543401</v>
      </c>
      <c r="BN156" s="5">
        <v>0.93023536084005498</v>
      </c>
      <c r="BO156" s="6">
        <v>0.94999999999989104</v>
      </c>
      <c r="BP156" s="6">
        <f t="shared" si="19"/>
        <v>0.92209414433591308</v>
      </c>
      <c r="BQ156" s="6"/>
      <c r="BR156" s="6"/>
      <c r="BS156" s="2" t="s">
        <v>295</v>
      </c>
      <c r="BT156" s="52" t="s">
        <v>332</v>
      </c>
    </row>
    <row r="157" spans="1:72">
      <c r="A157" s="2">
        <v>221632</v>
      </c>
      <c r="B157" s="2" t="s">
        <v>323</v>
      </c>
      <c r="C157" s="2" t="s">
        <v>331</v>
      </c>
      <c r="D157" s="2" t="s">
        <v>429</v>
      </c>
      <c r="E157" s="2">
        <v>2800</v>
      </c>
      <c r="F157" s="5">
        <v>51.73</v>
      </c>
      <c r="G157" s="5">
        <v>0.44</v>
      </c>
      <c r="H157" s="5">
        <v>11.34</v>
      </c>
      <c r="I157" s="5">
        <v>10.199999999999999</v>
      </c>
      <c r="J157" s="5">
        <v>0.16</v>
      </c>
      <c r="K157" s="5">
        <v>14.95</v>
      </c>
      <c r="L157" s="5">
        <v>8.14</v>
      </c>
      <c r="M157" s="5">
        <v>0.87</v>
      </c>
      <c r="N157" s="5">
        <v>0.38</v>
      </c>
      <c r="O157" s="5">
        <v>0.04</v>
      </c>
      <c r="P157" s="5">
        <v>2.57</v>
      </c>
      <c r="Q157" s="5">
        <f t="shared" si="15"/>
        <v>98.25</v>
      </c>
      <c r="R157" s="5">
        <f t="shared" si="16"/>
        <v>74.381144973314861</v>
      </c>
      <c r="S157" s="5">
        <f t="shared" si="17"/>
        <v>2637.1353449355202</v>
      </c>
      <c r="T157" s="5"/>
      <c r="U157" s="5"/>
      <c r="V157" s="5"/>
      <c r="W157" s="5">
        <v>201</v>
      </c>
      <c r="X157" s="5">
        <v>1160</v>
      </c>
      <c r="Y157" s="5">
        <v>52</v>
      </c>
      <c r="Z157" s="5">
        <v>331</v>
      </c>
      <c r="AA157" s="5"/>
      <c r="AB157" s="5"/>
      <c r="AC157" s="5"/>
      <c r="AD157" s="5">
        <v>17.899999999999999</v>
      </c>
      <c r="AE157" s="5">
        <v>27.1</v>
      </c>
      <c r="AF157" s="5">
        <v>11.7</v>
      </c>
      <c r="AG157" s="5">
        <v>31</v>
      </c>
      <c r="AH157" s="5">
        <v>0.7</v>
      </c>
      <c r="AI157" s="5"/>
      <c r="AJ157" s="5">
        <v>1.32</v>
      </c>
      <c r="AK157" s="5">
        <v>34.4</v>
      </c>
      <c r="AL157" s="5">
        <v>1.9</v>
      </c>
      <c r="AM157" s="5">
        <v>4.2</v>
      </c>
      <c r="AN157" s="5">
        <v>0.56999999999999995</v>
      </c>
      <c r="AO157" s="5">
        <v>2.7</v>
      </c>
      <c r="AP157" s="5"/>
      <c r="AQ157" s="5">
        <v>0.37</v>
      </c>
      <c r="AR157" s="5">
        <v>1.32</v>
      </c>
      <c r="AS157" s="5">
        <v>0.27</v>
      </c>
      <c r="AT157" s="5">
        <v>1.9</v>
      </c>
      <c r="AU157" s="5">
        <v>0.45</v>
      </c>
      <c r="AV157" s="5">
        <v>1.44</v>
      </c>
      <c r="AW157" s="5">
        <v>0.22</v>
      </c>
      <c r="AX157" s="5">
        <v>1.3</v>
      </c>
      <c r="AY157" s="5">
        <v>0.21</v>
      </c>
      <c r="AZ157" s="5">
        <v>0.9</v>
      </c>
      <c r="BA157" s="5"/>
      <c r="BB157" s="5"/>
      <c r="BC157" s="5"/>
      <c r="BD157" s="5">
        <v>0.52</v>
      </c>
      <c r="BE157" s="5"/>
      <c r="BF157" s="5">
        <v>3.62</v>
      </c>
      <c r="BG157" s="5">
        <v>16.850000000000001</v>
      </c>
      <c r="BH157" s="5">
        <v>0.35498634383996502</v>
      </c>
      <c r="BI157" s="5">
        <f t="shared" si="18"/>
        <v>57.362250000000003</v>
      </c>
      <c r="BJ157" s="5">
        <v>25.772727272727298</v>
      </c>
      <c r="BK157" s="5">
        <f t="shared" si="14"/>
        <v>1.0483609217786434</v>
      </c>
      <c r="BL157" s="5">
        <v>0.839977540707468</v>
      </c>
      <c r="BM157" s="98">
        <v>1263.8880287485599</v>
      </c>
      <c r="BN157" s="5">
        <v>0.86622528389970399</v>
      </c>
      <c r="BO157" s="6">
        <v>0.59699999999989095</v>
      </c>
      <c r="BP157" s="6">
        <f t="shared" si="19"/>
        <v>0.5434901135597725</v>
      </c>
      <c r="BQ157" s="6"/>
      <c r="BR157" s="6"/>
      <c r="BS157" s="2" t="s">
        <v>295</v>
      </c>
      <c r="BT157" s="52" t="s">
        <v>332</v>
      </c>
    </row>
    <row r="158" spans="1:72">
      <c r="A158" s="2">
        <v>221655</v>
      </c>
      <c r="B158" s="2" t="s">
        <v>323</v>
      </c>
      <c r="C158" s="2" t="s">
        <v>331</v>
      </c>
      <c r="D158" s="2" t="s">
        <v>429</v>
      </c>
      <c r="E158" s="2">
        <v>2800</v>
      </c>
      <c r="F158" s="5">
        <v>52.14</v>
      </c>
      <c r="G158" s="5">
        <v>0.53</v>
      </c>
      <c r="H158" s="5">
        <v>13.6</v>
      </c>
      <c r="I158" s="5">
        <v>10.28</v>
      </c>
      <c r="J158" s="5">
        <v>0.17</v>
      </c>
      <c r="K158" s="5">
        <v>8.9499999999999993</v>
      </c>
      <c r="L158" s="5">
        <v>10.7</v>
      </c>
      <c r="M158" s="5">
        <v>1.2</v>
      </c>
      <c r="N158" s="5">
        <v>0.09</v>
      </c>
      <c r="O158" s="5">
        <v>0.05</v>
      </c>
      <c r="P158" s="5">
        <v>2.98</v>
      </c>
      <c r="Q158" s="5">
        <f t="shared" si="15"/>
        <v>97.710000000000008</v>
      </c>
      <c r="R158" s="5">
        <f t="shared" si="16"/>
        <v>63.297560600589378</v>
      </c>
      <c r="S158" s="5">
        <f t="shared" si="17"/>
        <v>3176.5493927632397</v>
      </c>
      <c r="T158" s="5"/>
      <c r="U158" s="5"/>
      <c r="V158" s="5"/>
      <c r="W158" s="5">
        <v>279</v>
      </c>
      <c r="X158" s="5">
        <v>400</v>
      </c>
      <c r="Y158" s="5">
        <v>43</v>
      </c>
      <c r="Z158" s="5">
        <v>136</v>
      </c>
      <c r="AA158" s="5"/>
      <c r="AB158" s="5"/>
      <c r="AC158" s="5"/>
      <c r="AD158" s="5">
        <v>2.9</v>
      </c>
      <c r="AE158" s="5">
        <v>28.9</v>
      </c>
      <c r="AF158" s="5">
        <v>14.9</v>
      </c>
      <c r="AG158" s="5">
        <v>49</v>
      </c>
      <c r="AH158" s="5">
        <v>1</v>
      </c>
      <c r="AI158" s="5"/>
      <c r="AJ158" s="5">
        <v>0.18</v>
      </c>
      <c r="AK158" s="5">
        <v>20.5</v>
      </c>
      <c r="AL158" s="5">
        <v>2.7</v>
      </c>
      <c r="AM158" s="5">
        <v>5.7</v>
      </c>
      <c r="AN158" s="5">
        <v>0.7</v>
      </c>
      <c r="AO158" s="5">
        <v>3.5</v>
      </c>
      <c r="AP158" s="5"/>
      <c r="AQ158" s="5">
        <v>0.38</v>
      </c>
      <c r="AR158" s="5">
        <v>1.9</v>
      </c>
      <c r="AS158" s="5">
        <v>0.37</v>
      </c>
      <c r="AT158" s="5">
        <v>2.69</v>
      </c>
      <c r="AU158" s="5">
        <v>0.56999999999999995</v>
      </c>
      <c r="AV158" s="5">
        <v>1.93</v>
      </c>
      <c r="AW158" s="5">
        <v>0.26</v>
      </c>
      <c r="AX158" s="5">
        <v>1.8</v>
      </c>
      <c r="AY158" s="5">
        <v>0.25</v>
      </c>
      <c r="AZ158" s="5">
        <v>1.1000000000000001</v>
      </c>
      <c r="BA158" s="5"/>
      <c r="BB158" s="5"/>
      <c r="BC158" s="5"/>
      <c r="BD158" s="5">
        <v>0.68</v>
      </c>
      <c r="BE158" s="5"/>
      <c r="BF158" s="5">
        <v>4.8099999999999996</v>
      </c>
      <c r="BG158" s="5">
        <v>22.75</v>
      </c>
      <c r="BH158" s="5">
        <v>0.35686457846345598</v>
      </c>
      <c r="BI158" s="5">
        <f t="shared" si="18"/>
        <v>54.411435294117638</v>
      </c>
      <c r="BJ158" s="5">
        <v>25.660377358490599</v>
      </c>
      <c r="BK158" s="5">
        <f t="shared" si="14"/>
        <v>1.0759493670886078</v>
      </c>
      <c r="BL158" s="5">
        <v>0.87320897539875597</v>
      </c>
      <c r="BM158" s="98">
        <v>1274.9823398492199</v>
      </c>
      <c r="BN158" s="5">
        <v>0.89899543857644504</v>
      </c>
      <c r="BO158" s="6"/>
      <c r="BP158" s="6"/>
      <c r="BQ158" s="6"/>
      <c r="BR158" s="6"/>
      <c r="BS158" s="2" t="s">
        <v>295</v>
      </c>
      <c r="BT158" s="52" t="s">
        <v>332</v>
      </c>
    </row>
    <row r="159" spans="1:72">
      <c r="A159" s="2">
        <v>221659</v>
      </c>
      <c r="B159" s="2" t="s">
        <v>323</v>
      </c>
      <c r="C159" s="2" t="s">
        <v>331</v>
      </c>
      <c r="D159" s="2" t="s">
        <v>429</v>
      </c>
      <c r="E159" s="2">
        <v>2800</v>
      </c>
      <c r="F159" s="5">
        <v>53.05</v>
      </c>
      <c r="G159" s="5">
        <v>0.42</v>
      </c>
      <c r="H159" s="5">
        <v>10.48</v>
      </c>
      <c r="I159" s="5">
        <v>9.9</v>
      </c>
      <c r="J159" s="5">
        <v>0.15</v>
      </c>
      <c r="K159" s="5">
        <v>16.3</v>
      </c>
      <c r="L159" s="5">
        <v>7.53</v>
      </c>
      <c r="M159" s="5">
        <v>0.8</v>
      </c>
      <c r="N159" s="5">
        <v>0.27</v>
      </c>
      <c r="O159" s="5">
        <v>0.04</v>
      </c>
      <c r="P159" s="5">
        <v>1.9</v>
      </c>
      <c r="Q159" s="5">
        <f t="shared" si="15"/>
        <v>98.940000000000012</v>
      </c>
      <c r="R159" s="5">
        <f t="shared" si="16"/>
        <v>76.533966355878775</v>
      </c>
      <c r="S159" s="5">
        <f t="shared" si="17"/>
        <v>2517.2655565293599</v>
      </c>
      <c r="T159" s="5"/>
      <c r="U159" s="5"/>
      <c r="V159" s="5"/>
      <c r="W159" s="5">
        <v>215</v>
      </c>
      <c r="X159" s="5">
        <v>1470</v>
      </c>
      <c r="Y159" s="5">
        <v>55</v>
      </c>
      <c r="Z159" s="5">
        <v>333</v>
      </c>
      <c r="AA159" s="5"/>
      <c r="AB159" s="5"/>
      <c r="AC159" s="5"/>
      <c r="AD159" s="5">
        <v>13.6</v>
      </c>
      <c r="AE159" s="5">
        <v>25.4</v>
      </c>
      <c r="AF159" s="5">
        <v>10.8</v>
      </c>
      <c r="AG159" s="5">
        <v>29</v>
      </c>
      <c r="AH159" s="5">
        <v>0.7</v>
      </c>
      <c r="AI159" s="5"/>
      <c r="AJ159" s="5">
        <v>1.18</v>
      </c>
      <c r="AK159" s="5">
        <v>56.1</v>
      </c>
      <c r="AL159" s="5">
        <v>1.9</v>
      </c>
      <c r="AM159" s="5">
        <v>4.2</v>
      </c>
      <c r="AN159" s="5">
        <v>0.52</v>
      </c>
      <c r="AO159" s="5">
        <v>2.5</v>
      </c>
      <c r="AP159" s="5"/>
      <c r="AQ159" s="5">
        <v>0.28000000000000003</v>
      </c>
      <c r="AR159" s="5">
        <v>1.43</v>
      </c>
      <c r="AS159" s="5">
        <v>0.26</v>
      </c>
      <c r="AT159" s="5">
        <v>1.92</v>
      </c>
      <c r="AU159" s="5">
        <v>0.43</v>
      </c>
      <c r="AV159" s="5">
        <v>1.29</v>
      </c>
      <c r="AW159" s="5">
        <v>0.2</v>
      </c>
      <c r="AX159" s="5">
        <v>1.34</v>
      </c>
      <c r="AY159" s="5">
        <v>0.2</v>
      </c>
      <c r="AZ159" s="5">
        <v>1</v>
      </c>
      <c r="BA159" s="5"/>
      <c r="BB159" s="5"/>
      <c r="BC159" s="5"/>
      <c r="BD159" s="5">
        <v>0.49</v>
      </c>
      <c r="BE159" s="5"/>
      <c r="BF159" s="5">
        <v>3.46</v>
      </c>
      <c r="BG159" s="5">
        <v>16.47</v>
      </c>
      <c r="BH159" s="5">
        <v>0.35498634383996502</v>
      </c>
      <c r="BI159" s="5">
        <f t="shared" si="18"/>
        <v>59.386800000000008</v>
      </c>
      <c r="BJ159" s="5">
        <v>24.952380952380999</v>
      </c>
      <c r="BK159" s="5">
        <f t="shared" si="14"/>
        <v>1.0170665659046541</v>
      </c>
      <c r="BL159" s="5">
        <v>0.88281221629080897</v>
      </c>
      <c r="BM159" s="98">
        <v>1246.40148303814</v>
      </c>
      <c r="BN159" s="5">
        <v>0.68018404248105602</v>
      </c>
      <c r="BO159" s="6">
        <v>1.0539999999998899</v>
      </c>
      <c r="BP159" s="6">
        <f>(BN159-1)*0.4+BO159</f>
        <v>0.92607361699231228</v>
      </c>
      <c r="BQ159" s="6"/>
      <c r="BR159" s="6"/>
      <c r="BS159" s="2" t="s">
        <v>295</v>
      </c>
      <c r="BT159" s="52" t="s">
        <v>332</v>
      </c>
    </row>
    <row r="160" spans="1:72">
      <c r="A160" s="2">
        <v>221667</v>
      </c>
      <c r="B160" s="2" t="s">
        <v>323</v>
      </c>
      <c r="C160" s="2" t="s">
        <v>331</v>
      </c>
      <c r="D160" s="2" t="s">
        <v>429</v>
      </c>
      <c r="E160" s="2">
        <v>2800</v>
      </c>
      <c r="F160" s="5">
        <v>53.03</v>
      </c>
      <c r="G160" s="5">
        <v>0.45</v>
      </c>
      <c r="H160" s="5">
        <v>11.56</v>
      </c>
      <c r="I160" s="5">
        <v>9.81</v>
      </c>
      <c r="J160" s="5">
        <v>0.16</v>
      </c>
      <c r="K160" s="5">
        <v>13.7</v>
      </c>
      <c r="L160" s="5">
        <v>9.09</v>
      </c>
      <c r="M160" s="5">
        <v>1.17</v>
      </c>
      <c r="N160" s="5">
        <v>0.12</v>
      </c>
      <c r="O160" s="5">
        <v>0.05</v>
      </c>
      <c r="P160" s="5">
        <v>2.23</v>
      </c>
      <c r="Q160" s="5">
        <f t="shared" si="15"/>
        <v>99.140000000000015</v>
      </c>
      <c r="R160" s="5">
        <f t="shared" si="16"/>
        <v>73.44938965121267</v>
      </c>
      <c r="S160" s="5">
        <f t="shared" si="17"/>
        <v>2697.0702391385998</v>
      </c>
      <c r="T160" s="5"/>
      <c r="U160" s="5"/>
      <c r="V160" s="5"/>
      <c r="W160" s="5">
        <v>237</v>
      </c>
      <c r="X160" s="5">
        <v>1170</v>
      </c>
      <c r="Y160" s="5">
        <v>47</v>
      </c>
      <c r="Z160" s="5">
        <v>314</v>
      </c>
      <c r="AA160" s="5"/>
      <c r="AB160" s="5"/>
      <c r="AC160" s="5"/>
      <c r="AD160" s="5">
        <v>4.7</v>
      </c>
      <c r="AE160" s="5">
        <v>24.1</v>
      </c>
      <c r="AF160" s="5">
        <v>13</v>
      </c>
      <c r="AG160" s="5">
        <v>33</v>
      </c>
      <c r="AH160" s="5">
        <v>0.7</v>
      </c>
      <c r="AI160" s="5"/>
      <c r="AJ160" s="5">
        <v>0.75</v>
      </c>
      <c r="AK160" s="5">
        <v>40.200000000000003</v>
      </c>
      <c r="AL160" s="5">
        <v>2</v>
      </c>
      <c r="AM160" s="5">
        <v>4.5999999999999996</v>
      </c>
      <c r="AN160" s="5">
        <v>0.62</v>
      </c>
      <c r="AO160" s="5">
        <v>2.9</v>
      </c>
      <c r="AP160" s="5"/>
      <c r="AQ160" s="5">
        <v>0.43</v>
      </c>
      <c r="AR160" s="5">
        <v>1.6</v>
      </c>
      <c r="AS160" s="5">
        <v>0.28999999999999998</v>
      </c>
      <c r="AT160" s="5">
        <v>2.16</v>
      </c>
      <c r="AU160" s="5">
        <v>0.5</v>
      </c>
      <c r="AV160" s="5">
        <v>1.42</v>
      </c>
      <c r="AW160" s="5">
        <v>0.23</v>
      </c>
      <c r="AX160" s="5">
        <v>1.47</v>
      </c>
      <c r="AY160" s="5">
        <v>0.25</v>
      </c>
      <c r="AZ160" s="5">
        <v>1</v>
      </c>
      <c r="BA160" s="5"/>
      <c r="BB160" s="5"/>
      <c r="BC160" s="5"/>
      <c r="BD160" s="5">
        <v>0.54</v>
      </c>
      <c r="BE160" s="5"/>
      <c r="BF160" s="5">
        <v>3.87</v>
      </c>
      <c r="BG160" s="5">
        <v>18.47</v>
      </c>
      <c r="BH160" s="5">
        <v>0.33723702664796601</v>
      </c>
      <c r="BI160" s="5">
        <f t="shared" si="18"/>
        <v>55.168987500000007</v>
      </c>
      <c r="BJ160" s="5">
        <v>25.688888888888901</v>
      </c>
      <c r="BK160" s="5">
        <f t="shared" si="14"/>
        <v>0.97591779327764872</v>
      </c>
      <c r="BL160" s="5">
        <v>0.90040882533061894</v>
      </c>
      <c r="BM160" s="98">
        <v>1248.44128765699</v>
      </c>
      <c r="BN160" s="5">
        <v>0.73815995303536197</v>
      </c>
      <c r="BO160" s="6"/>
      <c r="BP160" s="6"/>
      <c r="BQ160" s="6"/>
      <c r="BR160" s="6"/>
      <c r="BS160" s="2" t="s">
        <v>295</v>
      </c>
      <c r="BT160" s="52" t="s">
        <v>332</v>
      </c>
    </row>
    <row r="161" spans="1:72">
      <c r="A161" s="2">
        <v>221668</v>
      </c>
      <c r="B161" s="2" t="s">
        <v>323</v>
      </c>
      <c r="C161" s="2" t="s">
        <v>331</v>
      </c>
      <c r="D161" s="2" t="s">
        <v>429</v>
      </c>
      <c r="E161" s="2">
        <v>2800</v>
      </c>
      <c r="F161" s="5">
        <v>52.62</v>
      </c>
      <c r="G161" s="5">
        <v>0.53</v>
      </c>
      <c r="H161" s="5">
        <v>13.64</v>
      </c>
      <c r="I161" s="5">
        <v>10.32</v>
      </c>
      <c r="J161" s="5">
        <v>0.15</v>
      </c>
      <c r="K161" s="5">
        <v>10.050000000000001</v>
      </c>
      <c r="L161" s="5">
        <v>9.52</v>
      </c>
      <c r="M161" s="5">
        <v>1.66</v>
      </c>
      <c r="N161" s="5">
        <v>0.27</v>
      </c>
      <c r="O161" s="5">
        <v>0.06</v>
      </c>
      <c r="P161" s="5">
        <v>2.42</v>
      </c>
      <c r="Q161" s="5">
        <f t="shared" si="15"/>
        <v>98.819999999999979</v>
      </c>
      <c r="R161" s="5">
        <f t="shared" si="16"/>
        <v>65.859496621930219</v>
      </c>
      <c r="S161" s="5">
        <f t="shared" si="17"/>
        <v>3176.5493927632397</v>
      </c>
      <c r="T161" s="5"/>
      <c r="U161" s="5"/>
      <c r="V161" s="5"/>
      <c r="W161" s="5">
        <v>278</v>
      </c>
      <c r="X161" s="5">
        <v>460</v>
      </c>
      <c r="Y161" s="5">
        <v>41</v>
      </c>
      <c r="Z161" s="5">
        <v>160</v>
      </c>
      <c r="AA161" s="5"/>
      <c r="AB161" s="5"/>
      <c r="AC161" s="5"/>
      <c r="AD161" s="5">
        <v>10.6</v>
      </c>
      <c r="AE161" s="5">
        <v>35.6</v>
      </c>
      <c r="AF161" s="5">
        <v>14.1</v>
      </c>
      <c r="AG161" s="5">
        <v>38</v>
      </c>
      <c r="AH161" s="5">
        <v>1</v>
      </c>
      <c r="AI161" s="5"/>
      <c r="AJ161" s="5">
        <v>0.23</v>
      </c>
      <c r="AK161" s="5">
        <v>98.3</v>
      </c>
      <c r="AL161" s="5">
        <v>2.5</v>
      </c>
      <c r="AM161" s="5">
        <v>5.3</v>
      </c>
      <c r="AN161" s="5">
        <v>0.74</v>
      </c>
      <c r="AO161" s="5">
        <v>3.4</v>
      </c>
      <c r="AP161" s="5"/>
      <c r="AQ161" s="5">
        <v>0.37</v>
      </c>
      <c r="AR161" s="5">
        <v>1.92</v>
      </c>
      <c r="AS161" s="5">
        <v>0.34</v>
      </c>
      <c r="AT161" s="5">
        <v>2.5499999999999998</v>
      </c>
      <c r="AU161" s="5">
        <v>0.56999999999999995</v>
      </c>
      <c r="AV161" s="5">
        <v>1.75</v>
      </c>
      <c r="AW161" s="5">
        <v>0.27</v>
      </c>
      <c r="AX161" s="5">
        <v>1.83</v>
      </c>
      <c r="AY161" s="5">
        <v>0.26</v>
      </c>
      <c r="AZ161" s="5">
        <v>1.2</v>
      </c>
      <c r="BA161" s="5"/>
      <c r="BB161" s="5"/>
      <c r="BC161" s="5"/>
      <c r="BD161" s="5">
        <v>0.69</v>
      </c>
      <c r="BE161" s="5"/>
      <c r="BF161" s="5">
        <v>4.68</v>
      </c>
      <c r="BG161" s="5">
        <v>21.8</v>
      </c>
      <c r="BH161" s="5">
        <v>0.38541374474053303</v>
      </c>
      <c r="BI161" s="5">
        <f t="shared" si="18"/>
        <v>61.906240000000011</v>
      </c>
      <c r="BJ161" s="5">
        <v>25.735849056603801</v>
      </c>
      <c r="BK161" s="5">
        <f t="shared" si="14"/>
        <v>0.97991745636485217</v>
      </c>
      <c r="BL161" s="5">
        <v>0.86793506441705603</v>
      </c>
      <c r="BM161" s="98">
        <v>1273.7731307044201</v>
      </c>
      <c r="BN161" s="5">
        <v>0.96851188322690795</v>
      </c>
      <c r="BO161" s="6">
        <v>1.40199999999985</v>
      </c>
      <c r="BP161" s="6">
        <f>(BN161-1)*0.4+BO161</f>
        <v>1.3894047532906133</v>
      </c>
      <c r="BQ161" s="6"/>
      <c r="BR161" s="6"/>
      <c r="BS161" s="2" t="s">
        <v>295</v>
      </c>
      <c r="BT161" s="52" t="s">
        <v>332</v>
      </c>
    </row>
    <row r="162" spans="1:72">
      <c r="A162" s="2">
        <v>221673</v>
      </c>
      <c r="B162" s="2" t="s">
        <v>323</v>
      </c>
      <c r="C162" s="2" t="s">
        <v>331</v>
      </c>
      <c r="D162" s="2" t="s">
        <v>429</v>
      </c>
      <c r="E162" s="2">
        <v>2800</v>
      </c>
      <c r="F162" s="5">
        <v>51.07</v>
      </c>
      <c r="G162" s="5">
        <v>0.43</v>
      </c>
      <c r="H162" s="5">
        <v>10.8</v>
      </c>
      <c r="I162" s="5">
        <v>10.130000000000001</v>
      </c>
      <c r="J162" s="5">
        <v>0.17</v>
      </c>
      <c r="K162" s="5">
        <v>16.2</v>
      </c>
      <c r="L162" s="5">
        <v>8.2100000000000009</v>
      </c>
      <c r="M162" s="5">
        <v>0.74</v>
      </c>
      <c r="N162" s="5">
        <v>0.26</v>
      </c>
      <c r="O162" s="5">
        <v>0.04</v>
      </c>
      <c r="P162" s="5">
        <v>3.16</v>
      </c>
      <c r="Q162" s="5">
        <f t="shared" si="15"/>
        <v>98.05</v>
      </c>
      <c r="R162" s="5">
        <f t="shared" si="16"/>
        <v>76.006943491675187</v>
      </c>
      <c r="S162" s="5">
        <f t="shared" si="17"/>
        <v>2577.20045073244</v>
      </c>
      <c r="T162" s="5"/>
      <c r="U162" s="5"/>
      <c r="V162" s="5"/>
      <c r="W162" s="5">
        <v>233</v>
      </c>
      <c r="X162" s="5">
        <v>1680</v>
      </c>
      <c r="Y162" s="5">
        <v>58</v>
      </c>
      <c r="Z162" s="5">
        <v>465</v>
      </c>
      <c r="AA162" s="5"/>
      <c r="AB162" s="5"/>
      <c r="AC162" s="5"/>
      <c r="AD162" s="5">
        <v>12.6</v>
      </c>
      <c r="AE162" s="5">
        <v>21.3</v>
      </c>
      <c r="AF162" s="5">
        <v>11.8</v>
      </c>
      <c r="AG162" s="5">
        <v>31</v>
      </c>
      <c r="AH162" s="5">
        <v>0.8</v>
      </c>
      <c r="AI162" s="5"/>
      <c r="AJ162" s="5">
        <v>0.42</v>
      </c>
      <c r="AK162" s="5">
        <v>121.5</v>
      </c>
      <c r="AL162" s="5">
        <v>2.2000000000000002</v>
      </c>
      <c r="AM162" s="5">
        <v>4.4000000000000004</v>
      </c>
      <c r="AN162" s="5">
        <v>0.55000000000000004</v>
      </c>
      <c r="AO162" s="5">
        <v>2.7</v>
      </c>
      <c r="AP162" s="5"/>
      <c r="AQ162" s="5">
        <v>0.26</v>
      </c>
      <c r="AR162" s="5">
        <v>1.37</v>
      </c>
      <c r="AS162" s="5">
        <v>0.28000000000000003</v>
      </c>
      <c r="AT162" s="5">
        <v>1.96</v>
      </c>
      <c r="AU162" s="5">
        <v>0.46</v>
      </c>
      <c r="AV162" s="5">
        <v>1.36</v>
      </c>
      <c r="AW162" s="5">
        <v>0.21</v>
      </c>
      <c r="AX162" s="5">
        <v>1.42</v>
      </c>
      <c r="AY162" s="5">
        <v>0.2</v>
      </c>
      <c r="AZ162" s="5">
        <v>1</v>
      </c>
      <c r="BA162" s="5"/>
      <c r="BB162" s="5"/>
      <c r="BC162" s="5"/>
      <c r="BD162" s="5">
        <v>0.53</v>
      </c>
      <c r="BE162" s="5"/>
      <c r="BF162" s="5">
        <v>3.65</v>
      </c>
      <c r="BG162" s="5">
        <v>17.37</v>
      </c>
      <c r="BH162" s="5">
        <v>0.35037613158230302</v>
      </c>
      <c r="BI162" s="5">
        <f t="shared" si="18"/>
        <v>53.61749411764707</v>
      </c>
      <c r="BJ162" s="5">
        <v>25.116279069767401</v>
      </c>
      <c r="BK162" s="5">
        <f t="shared" si="14"/>
        <v>1.1113092054436324</v>
      </c>
      <c r="BL162" s="5">
        <v>0.79812206572769995</v>
      </c>
      <c r="BM162" s="98">
        <v>1266.47175567719</v>
      </c>
      <c r="BN162" s="5">
        <v>0.89011353735069199</v>
      </c>
      <c r="BO162" s="6">
        <v>1.0769999999998801</v>
      </c>
      <c r="BP162" s="6">
        <f>(BN162-1)*0.4+BO162</f>
        <v>1.0330454149401569</v>
      </c>
      <c r="BQ162" s="6"/>
      <c r="BR162" s="6"/>
      <c r="BS162" s="2" t="s">
        <v>295</v>
      </c>
      <c r="BT162" s="52" t="s">
        <v>332</v>
      </c>
    </row>
    <row r="163" spans="1:72">
      <c r="A163" s="2">
        <v>221679</v>
      </c>
      <c r="B163" s="2" t="s">
        <v>323</v>
      </c>
      <c r="C163" s="2" t="s">
        <v>331</v>
      </c>
      <c r="D163" s="2" t="s">
        <v>429</v>
      </c>
      <c r="E163" s="2">
        <v>2800</v>
      </c>
      <c r="F163" s="5">
        <v>53.28</v>
      </c>
      <c r="G163" s="5">
        <v>0.42</v>
      </c>
      <c r="H163" s="5">
        <v>10.8</v>
      </c>
      <c r="I163" s="5">
        <v>9.76</v>
      </c>
      <c r="J163" s="5">
        <v>0.15</v>
      </c>
      <c r="K163" s="5">
        <v>14.56</v>
      </c>
      <c r="L163" s="5">
        <v>8.07</v>
      </c>
      <c r="M163" s="5">
        <v>0.85</v>
      </c>
      <c r="N163" s="5">
        <v>0.17</v>
      </c>
      <c r="O163" s="5">
        <v>4.2999999999999997E-2</v>
      </c>
      <c r="P163" s="5">
        <v>2.0099999999999998</v>
      </c>
      <c r="Q163" s="5">
        <f t="shared" si="15"/>
        <v>98.103000000000023</v>
      </c>
      <c r="R163" s="5">
        <f t="shared" si="16"/>
        <v>74.716254372633728</v>
      </c>
      <c r="S163" s="5">
        <f t="shared" si="17"/>
        <v>2517.2655565293599</v>
      </c>
      <c r="T163" s="5"/>
      <c r="U163" s="5"/>
      <c r="V163" s="5"/>
      <c r="W163" s="5">
        <v>224</v>
      </c>
      <c r="X163" s="5">
        <v>1225</v>
      </c>
      <c r="Y163" s="5">
        <v>51</v>
      </c>
      <c r="Z163" s="5">
        <v>261</v>
      </c>
      <c r="AA163" s="5"/>
      <c r="AB163" s="5"/>
      <c r="AC163" s="5"/>
      <c r="AD163" s="5">
        <v>8.1999999999999993</v>
      </c>
      <c r="AE163" s="5">
        <v>27.5</v>
      </c>
      <c r="AF163" s="5">
        <v>10.8</v>
      </c>
      <c r="AG163" s="5">
        <v>27</v>
      </c>
      <c r="AH163" s="5">
        <v>0.7</v>
      </c>
      <c r="AI163" s="5"/>
      <c r="AJ163" s="5">
        <v>1.6</v>
      </c>
      <c r="AK163" s="5">
        <v>20.399999999999999</v>
      </c>
      <c r="AL163" s="5">
        <v>2</v>
      </c>
      <c r="AM163" s="5">
        <v>4.5999999999999996</v>
      </c>
      <c r="AN163" s="5">
        <v>0.5</v>
      </c>
      <c r="AO163" s="5">
        <v>2.2999999999999998</v>
      </c>
      <c r="AP163" s="5"/>
      <c r="AQ163" s="5">
        <v>0.4</v>
      </c>
      <c r="AR163" s="5">
        <v>1.6</v>
      </c>
      <c r="AS163" s="5">
        <v>0.3</v>
      </c>
      <c r="AT163" s="5">
        <v>2.2000000000000002</v>
      </c>
      <c r="AU163" s="5">
        <v>0.4</v>
      </c>
      <c r="AV163" s="5">
        <v>1.2</v>
      </c>
      <c r="AW163" s="5">
        <v>0.2</v>
      </c>
      <c r="AX163" s="5">
        <v>1.4</v>
      </c>
      <c r="AY163" s="5">
        <v>0.2</v>
      </c>
      <c r="AZ163" s="5">
        <v>0.9</v>
      </c>
      <c r="BA163" s="5"/>
      <c r="BB163" s="5"/>
      <c r="BC163" s="5"/>
      <c r="BD163" s="5">
        <v>0.5</v>
      </c>
      <c r="BE163" s="5"/>
      <c r="BF163" s="5">
        <v>3.4</v>
      </c>
      <c r="BG163" s="5">
        <v>17.3</v>
      </c>
      <c r="BH163" s="5">
        <v>0.33723702664796601</v>
      </c>
      <c r="BI163" s="5">
        <f t="shared" si="18"/>
        <v>58.546986666666669</v>
      </c>
      <c r="BJ163" s="5">
        <v>25.714285714285701</v>
      </c>
      <c r="BK163" s="5">
        <f t="shared" si="14"/>
        <v>1.0247136829415311</v>
      </c>
      <c r="BL163" s="5">
        <v>0.94542926659714999</v>
      </c>
      <c r="BM163" s="98">
        <v>1245.1226060305</v>
      </c>
      <c r="BN163" s="5">
        <v>0.63532205006808595</v>
      </c>
      <c r="BO163" s="6">
        <v>1.2019999999998701</v>
      </c>
      <c r="BP163" s="6">
        <f>(BN163-1)*0.4+BO163</f>
        <v>1.0561288200271044</v>
      </c>
      <c r="BQ163" s="6"/>
      <c r="BR163" s="6"/>
      <c r="BS163" s="2" t="s">
        <v>295</v>
      </c>
      <c r="BT163" s="52" t="s">
        <v>332</v>
      </c>
    </row>
    <row r="164" spans="1:72">
      <c r="A164" s="2">
        <v>221690</v>
      </c>
      <c r="B164" s="2" t="s">
        <v>323</v>
      </c>
      <c r="C164" s="2" t="s">
        <v>331</v>
      </c>
      <c r="D164" s="2" t="s">
        <v>429</v>
      </c>
      <c r="E164" s="2">
        <v>2800</v>
      </c>
      <c r="F164" s="5">
        <v>52.89</v>
      </c>
      <c r="G164" s="5">
        <v>0.5</v>
      </c>
      <c r="H164" s="5">
        <v>12.54</v>
      </c>
      <c r="I164" s="5">
        <v>9.98</v>
      </c>
      <c r="J164" s="5">
        <v>0.16</v>
      </c>
      <c r="K164" s="5">
        <v>11.55</v>
      </c>
      <c r="L164" s="5">
        <v>8.57</v>
      </c>
      <c r="M164" s="5">
        <v>1.73</v>
      </c>
      <c r="N164" s="5">
        <v>0.16</v>
      </c>
      <c r="O164" s="5">
        <v>0.05</v>
      </c>
      <c r="P164" s="5">
        <v>2.98</v>
      </c>
      <c r="Q164" s="5">
        <f t="shared" si="15"/>
        <v>98.13</v>
      </c>
      <c r="R164" s="5">
        <f t="shared" si="16"/>
        <v>69.628147825245989</v>
      </c>
      <c r="S164" s="5">
        <f t="shared" si="17"/>
        <v>2996.7447101540001</v>
      </c>
      <c r="T164" s="5"/>
      <c r="U164" s="5"/>
      <c r="V164" s="5"/>
      <c r="W164" s="5">
        <v>258</v>
      </c>
      <c r="X164" s="5">
        <v>850</v>
      </c>
      <c r="Y164" s="5">
        <v>45</v>
      </c>
      <c r="Z164" s="5">
        <v>214</v>
      </c>
      <c r="AA164" s="5"/>
      <c r="AB164" s="5"/>
      <c r="AC164" s="5"/>
      <c r="AD164" s="5">
        <v>4.5999999999999996</v>
      </c>
      <c r="AE164" s="5">
        <v>46.5</v>
      </c>
      <c r="AF164" s="5">
        <v>13.7</v>
      </c>
      <c r="AG164" s="5">
        <v>37</v>
      </c>
      <c r="AH164" s="5">
        <v>0.9</v>
      </c>
      <c r="AI164" s="5"/>
      <c r="AJ164" s="5">
        <v>0.37</v>
      </c>
      <c r="AK164" s="5">
        <v>102.5</v>
      </c>
      <c r="AL164" s="5">
        <v>2.2000000000000002</v>
      </c>
      <c r="AM164" s="5">
        <v>5</v>
      </c>
      <c r="AN164" s="5">
        <v>0.63</v>
      </c>
      <c r="AO164" s="5">
        <v>3.1</v>
      </c>
      <c r="AP164" s="5"/>
      <c r="AQ164" s="5">
        <v>0.4</v>
      </c>
      <c r="AR164" s="5">
        <v>1.77</v>
      </c>
      <c r="AS164" s="5">
        <v>0.35</v>
      </c>
      <c r="AT164" s="5">
        <v>2.58</v>
      </c>
      <c r="AU164" s="5">
        <v>0.52</v>
      </c>
      <c r="AV164" s="5">
        <v>1.48</v>
      </c>
      <c r="AW164" s="5">
        <v>0.25</v>
      </c>
      <c r="AX164" s="5">
        <v>1.59</v>
      </c>
      <c r="AY164" s="5">
        <v>0.27</v>
      </c>
      <c r="AZ164" s="5">
        <v>1</v>
      </c>
      <c r="BA164" s="5"/>
      <c r="BB164" s="5"/>
      <c r="BC164" s="5"/>
      <c r="BD164" s="5">
        <v>0.56999999999999995</v>
      </c>
      <c r="BE164" s="5"/>
      <c r="BF164" s="5">
        <v>4.1100000000000003</v>
      </c>
      <c r="BG164" s="5">
        <v>20.14</v>
      </c>
      <c r="BH164" s="5">
        <v>0.39417314803009101</v>
      </c>
      <c r="BI164" s="5">
        <f t="shared" si="18"/>
        <v>56.125025000000008</v>
      </c>
      <c r="BJ164" s="5">
        <v>25.08</v>
      </c>
      <c r="BK164" s="5">
        <f t="shared" si="14"/>
        <v>0.99248998222009921</v>
      </c>
      <c r="BL164" s="5">
        <v>0.92090162052977098</v>
      </c>
      <c r="BM164" s="98">
        <v>1257.95086512325</v>
      </c>
      <c r="BN164" s="5">
        <v>0.84122368323174102</v>
      </c>
      <c r="BO164" s="6">
        <v>1.3689999999998499</v>
      </c>
      <c r="BP164" s="6">
        <f>(BN164-1)*0.4+BO164</f>
        <v>1.3054894732925464</v>
      </c>
      <c r="BQ164" s="6"/>
      <c r="BR164" s="6"/>
      <c r="BS164" s="2" t="s">
        <v>295</v>
      </c>
      <c r="BT164" s="52" t="s">
        <v>332</v>
      </c>
    </row>
    <row r="165" spans="1:72">
      <c r="A165" s="2">
        <v>221693</v>
      </c>
      <c r="B165" s="2" t="s">
        <v>323</v>
      </c>
      <c r="C165" s="2" t="s">
        <v>331</v>
      </c>
      <c r="D165" s="2" t="s">
        <v>429</v>
      </c>
      <c r="E165" s="2">
        <v>2800</v>
      </c>
      <c r="F165" s="5">
        <v>53.51</v>
      </c>
      <c r="G165" s="5">
        <v>0.54</v>
      </c>
      <c r="H165" s="5">
        <v>13.8</v>
      </c>
      <c r="I165" s="5">
        <v>9.4499999999999993</v>
      </c>
      <c r="J165" s="5">
        <v>0.16</v>
      </c>
      <c r="K165" s="5">
        <v>9.44</v>
      </c>
      <c r="L165" s="5">
        <v>10.4</v>
      </c>
      <c r="M165" s="5">
        <v>1.38</v>
      </c>
      <c r="N165" s="5">
        <v>7.0000000000000007E-2</v>
      </c>
      <c r="O165" s="5">
        <v>0.06</v>
      </c>
      <c r="P165" s="5">
        <v>1.98</v>
      </c>
      <c r="Q165" s="5">
        <f t="shared" si="15"/>
        <v>98.809999999999988</v>
      </c>
      <c r="R165" s="5">
        <f t="shared" si="16"/>
        <v>66.429455540980172</v>
      </c>
      <c r="S165" s="5">
        <f t="shared" si="17"/>
        <v>3236.4842869663203</v>
      </c>
      <c r="T165" s="5"/>
      <c r="U165" s="5"/>
      <c r="V165" s="5"/>
      <c r="W165" s="5">
        <v>303</v>
      </c>
      <c r="X165" s="5">
        <v>420</v>
      </c>
      <c r="Y165" s="5">
        <v>44</v>
      </c>
      <c r="Z165" s="5">
        <v>175</v>
      </c>
      <c r="AA165" s="5"/>
      <c r="AB165" s="5"/>
      <c r="AC165" s="5"/>
      <c r="AD165" s="5">
        <v>1.7</v>
      </c>
      <c r="AE165" s="5">
        <v>32.1</v>
      </c>
      <c r="AF165" s="5">
        <v>14.8</v>
      </c>
      <c r="AG165" s="5">
        <v>44</v>
      </c>
      <c r="AH165" s="5">
        <v>1</v>
      </c>
      <c r="AI165" s="5"/>
      <c r="AJ165" s="5">
        <v>0.18</v>
      </c>
      <c r="AK165" s="5">
        <v>30.6</v>
      </c>
      <c r="AL165" s="5">
        <v>2.7</v>
      </c>
      <c r="AM165" s="5">
        <v>5.6</v>
      </c>
      <c r="AN165" s="5">
        <v>0.73</v>
      </c>
      <c r="AO165" s="5">
        <v>3.5</v>
      </c>
      <c r="AP165" s="5"/>
      <c r="AQ165" s="5">
        <v>0.47</v>
      </c>
      <c r="AR165" s="5">
        <v>2.17</v>
      </c>
      <c r="AS165" s="5">
        <v>0.4</v>
      </c>
      <c r="AT165" s="5">
        <v>2.57</v>
      </c>
      <c r="AU165" s="5">
        <v>0.55000000000000004</v>
      </c>
      <c r="AV165" s="5">
        <v>1.88</v>
      </c>
      <c r="AW165" s="5">
        <v>0.28999999999999998</v>
      </c>
      <c r="AX165" s="5">
        <v>1.73</v>
      </c>
      <c r="AY165" s="5">
        <v>0.25</v>
      </c>
      <c r="AZ165" s="5">
        <v>1.2</v>
      </c>
      <c r="BA165" s="5"/>
      <c r="BB165" s="5"/>
      <c r="BC165" s="5"/>
      <c r="BD165" s="5">
        <v>0.68</v>
      </c>
      <c r="BE165" s="5"/>
      <c r="BF165" s="5">
        <v>4.7</v>
      </c>
      <c r="BG165" s="5">
        <v>22.84</v>
      </c>
      <c r="BH165" s="5">
        <v>0.35686457846345598</v>
      </c>
      <c r="BI165" s="5">
        <f t="shared" si="18"/>
        <v>53.144437499999995</v>
      </c>
      <c r="BJ165" s="5">
        <v>25.5555555555556</v>
      </c>
      <c r="BK165" s="5">
        <f t="shared" si="14"/>
        <v>1.1194848906124244</v>
      </c>
      <c r="BL165" s="5">
        <v>1.0376496069082899</v>
      </c>
      <c r="BM165" s="98">
        <v>1242.6379638784799</v>
      </c>
      <c r="BN165" s="5">
        <v>0.713917506181588</v>
      </c>
      <c r="BO165" s="6"/>
      <c r="BP165" s="6"/>
      <c r="BQ165" s="6"/>
      <c r="BR165" s="6"/>
      <c r="BS165" s="2" t="s">
        <v>295</v>
      </c>
      <c r="BT165" s="52" t="s">
        <v>332</v>
      </c>
    </row>
    <row r="166" spans="1:72">
      <c r="A166" s="2">
        <v>221696</v>
      </c>
      <c r="B166" s="2" t="s">
        <v>323</v>
      </c>
      <c r="C166" s="2" t="s">
        <v>331</v>
      </c>
      <c r="D166" s="2" t="s">
        <v>429</v>
      </c>
      <c r="E166" s="2">
        <v>2800</v>
      </c>
      <c r="F166" s="5">
        <v>53.25</v>
      </c>
      <c r="G166" s="5">
        <v>0.5</v>
      </c>
      <c r="H166" s="5">
        <v>12.46</v>
      </c>
      <c r="I166" s="5">
        <v>10.26</v>
      </c>
      <c r="J166" s="5">
        <v>0.16</v>
      </c>
      <c r="K166" s="5">
        <v>12</v>
      </c>
      <c r="L166" s="5">
        <v>8.9499999999999993</v>
      </c>
      <c r="M166" s="5">
        <v>1.39</v>
      </c>
      <c r="N166" s="5">
        <v>0.1</v>
      </c>
      <c r="O166" s="5">
        <v>0.05</v>
      </c>
      <c r="P166" s="5">
        <v>2.0099999999999998</v>
      </c>
      <c r="Q166" s="5">
        <f t="shared" si="15"/>
        <v>99.12</v>
      </c>
      <c r="R166" s="5">
        <f t="shared" si="16"/>
        <v>69.850820167598243</v>
      </c>
      <c r="S166" s="5">
        <f t="shared" si="17"/>
        <v>2996.7447101540001</v>
      </c>
      <c r="T166" s="5"/>
      <c r="U166" s="5"/>
      <c r="V166" s="5"/>
      <c r="W166" s="5">
        <v>256</v>
      </c>
      <c r="X166" s="5">
        <v>850</v>
      </c>
      <c r="Y166" s="5">
        <v>44</v>
      </c>
      <c r="Z166" s="5">
        <v>224</v>
      </c>
      <c r="AA166" s="5"/>
      <c r="AB166" s="5"/>
      <c r="AC166" s="5"/>
      <c r="AD166" s="5">
        <v>3.9</v>
      </c>
      <c r="AE166" s="5">
        <v>25.6</v>
      </c>
      <c r="AF166" s="5">
        <v>13.5</v>
      </c>
      <c r="AG166" s="5">
        <v>39</v>
      </c>
      <c r="AH166" s="5">
        <v>0.9</v>
      </c>
      <c r="AI166" s="5"/>
      <c r="AJ166" s="5">
        <v>0.5</v>
      </c>
      <c r="AK166" s="5">
        <v>28.3</v>
      </c>
      <c r="AL166" s="5">
        <v>2.2000000000000002</v>
      </c>
      <c r="AM166" s="5">
        <v>4.9000000000000004</v>
      </c>
      <c r="AN166" s="5">
        <v>0.68</v>
      </c>
      <c r="AO166" s="5">
        <v>3</v>
      </c>
      <c r="AP166" s="5"/>
      <c r="AQ166" s="5">
        <v>0.28999999999999998</v>
      </c>
      <c r="AR166" s="5">
        <v>1.54</v>
      </c>
      <c r="AS166" s="5">
        <v>0.36</v>
      </c>
      <c r="AT166" s="5">
        <v>2.5299999999999998</v>
      </c>
      <c r="AU166" s="5">
        <v>0.52</v>
      </c>
      <c r="AV166" s="5">
        <v>1.7</v>
      </c>
      <c r="AW166" s="5">
        <v>0.24</v>
      </c>
      <c r="AX166" s="5">
        <v>1.62</v>
      </c>
      <c r="AY166" s="5">
        <v>0.24</v>
      </c>
      <c r="AZ166" s="5">
        <v>1.1000000000000001</v>
      </c>
      <c r="BA166" s="5"/>
      <c r="BB166" s="5"/>
      <c r="BC166" s="5"/>
      <c r="BD166" s="5">
        <v>0.65</v>
      </c>
      <c r="BE166" s="5"/>
      <c r="BF166" s="5">
        <v>4.32</v>
      </c>
      <c r="BG166" s="5">
        <v>19.82</v>
      </c>
      <c r="BH166" s="5">
        <v>0.39417314803009101</v>
      </c>
      <c r="BI166" s="5">
        <f t="shared" si="18"/>
        <v>57.699675000000006</v>
      </c>
      <c r="BJ166" s="5">
        <v>24.92</v>
      </c>
      <c r="BK166" s="5">
        <f t="shared" si="14"/>
        <v>0.97411053810491222</v>
      </c>
      <c r="BL166" s="5">
        <v>0.78639872638250596</v>
      </c>
      <c r="BM166" s="98">
        <v>1265.0265728818899</v>
      </c>
      <c r="BN166" s="5">
        <v>0.83034242632906696</v>
      </c>
      <c r="BO166" s="6">
        <v>1.2659999999998599</v>
      </c>
      <c r="BP166" s="6">
        <f>(BN166-1)*0.4+BO166</f>
        <v>1.1981369705314866</v>
      </c>
      <c r="BQ166" s="6"/>
      <c r="BR166" s="6"/>
      <c r="BS166" s="2" t="s">
        <v>295</v>
      </c>
      <c r="BT166" s="52" t="s">
        <v>332</v>
      </c>
    </row>
    <row r="167" spans="1:72">
      <c r="A167" s="2">
        <v>221699</v>
      </c>
      <c r="B167" s="2" t="s">
        <v>323</v>
      </c>
      <c r="C167" s="2" t="s">
        <v>331</v>
      </c>
      <c r="D167" s="2" t="s">
        <v>429</v>
      </c>
      <c r="E167" s="2">
        <v>2800</v>
      </c>
      <c r="F167" s="5">
        <v>52.95</v>
      </c>
      <c r="G167" s="5">
        <v>0.49</v>
      </c>
      <c r="H167" s="5">
        <v>12.3</v>
      </c>
      <c r="I167" s="5">
        <v>10.61</v>
      </c>
      <c r="J167" s="5">
        <v>0.16</v>
      </c>
      <c r="K167" s="5">
        <v>12.35</v>
      </c>
      <c r="L167" s="5">
        <v>9.0500000000000007</v>
      </c>
      <c r="M167" s="5">
        <v>1.31</v>
      </c>
      <c r="N167" s="5">
        <v>7.0000000000000007E-2</v>
      </c>
      <c r="O167" s="5">
        <v>0.05</v>
      </c>
      <c r="P167" s="5">
        <v>2.16</v>
      </c>
      <c r="Q167" s="5">
        <f t="shared" si="15"/>
        <v>99.339999999999989</v>
      </c>
      <c r="R167" s="5">
        <f t="shared" si="16"/>
        <v>69.749750430848948</v>
      </c>
      <c r="S167" s="5">
        <f t="shared" si="17"/>
        <v>2936.80981595092</v>
      </c>
      <c r="T167" s="5"/>
      <c r="U167" s="5"/>
      <c r="V167" s="5"/>
      <c r="W167" s="5">
        <v>269</v>
      </c>
      <c r="X167" s="5">
        <v>900</v>
      </c>
      <c r="Y167" s="5">
        <v>47</v>
      </c>
      <c r="Z167" s="5">
        <v>231</v>
      </c>
      <c r="AA167" s="5"/>
      <c r="AB167" s="5"/>
      <c r="AC167" s="5"/>
      <c r="AD167" s="5">
        <v>2.1</v>
      </c>
      <c r="AE167" s="5">
        <v>26.4</v>
      </c>
      <c r="AF167" s="5">
        <v>13.7</v>
      </c>
      <c r="AG167" s="5">
        <v>36</v>
      </c>
      <c r="AH167" s="5">
        <v>1</v>
      </c>
      <c r="AI167" s="5"/>
      <c r="AJ167" s="5">
        <v>0.25</v>
      </c>
      <c r="AK167" s="5">
        <v>31</v>
      </c>
      <c r="AL167" s="5">
        <v>2.2999999999999998</v>
      </c>
      <c r="AM167" s="5">
        <v>4.8</v>
      </c>
      <c r="AN167" s="5">
        <v>0.64</v>
      </c>
      <c r="AO167" s="5">
        <v>3.2</v>
      </c>
      <c r="AP167" s="5"/>
      <c r="AQ167" s="5">
        <v>0.39</v>
      </c>
      <c r="AR167" s="5">
        <v>1.78</v>
      </c>
      <c r="AS167" s="5">
        <v>0.34</v>
      </c>
      <c r="AT167" s="5">
        <v>2.4</v>
      </c>
      <c r="AU167" s="5">
        <v>0.55000000000000004</v>
      </c>
      <c r="AV167" s="5">
        <v>1.52</v>
      </c>
      <c r="AW167" s="5">
        <v>0.28999999999999998</v>
      </c>
      <c r="AX167" s="5">
        <v>1.44</v>
      </c>
      <c r="AY167" s="5">
        <v>0.21</v>
      </c>
      <c r="AZ167" s="5">
        <v>1.1000000000000001</v>
      </c>
      <c r="BA167" s="5"/>
      <c r="BB167" s="5"/>
      <c r="BC167" s="5"/>
      <c r="BD167" s="5">
        <v>0.63</v>
      </c>
      <c r="BE167" s="5"/>
      <c r="BF167" s="5">
        <v>4.01</v>
      </c>
      <c r="BG167" s="5">
        <v>19.86</v>
      </c>
      <c r="BH167" s="5">
        <v>0.41892798341362297</v>
      </c>
      <c r="BI167" s="5">
        <f t="shared" si="18"/>
        <v>59.667987499999995</v>
      </c>
      <c r="BJ167" s="5">
        <v>25.1020408163265</v>
      </c>
      <c r="BK167" s="5">
        <f t="shared" si="14"/>
        <v>1.1456868260665731</v>
      </c>
      <c r="BL167" s="5">
        <v>1.0225736685590701</v>
      </c>
      <c r="BM167" s="98">
        <v>1277.0531768639601</v>
      </c>
      <c r="BN167" s="5">
        <v>0.89943749242818205</v>
      </c>
      <c r="BO167" s="6"/>
      <c r="BP167" s="6"/>
      <c r="BQ167" s="6"/>
      <c r="BR167" s="6"/>
      <c r="BS167" s="2" t="s">
        <v>295</v>
      </c>
      <c r="BT167" s="52" t="s">
        <v>332</v>
      </c>
    </row>
    <row r="168" spans="1:72" ht="14" thickBot="1">
      <c r="A168" s="4">
        <v>221701</v>
      </c>
      <c r="B168" s="4" t="s">
        <v>323</v>
      </c>
      <c r="C168" s="4" t="s">
        <v>331</v>
      </c>
      <c r="D168" s="4" t="s">
        <v>429</v>
      </c>
      <c r="E168" s="4">
        <v>2800</v>
      </c>
      <c r="F168" s="97">
        <v>53.02</v>
      </c>
      <c r="G168" s="97">
        <v>0.48</v>
      </c>
      <c r="H168" s="97">
        <v>11.94</v>
      </c>
      <c r="I168" s="97">
        <v>10.4</v>
      </c>
      <c r="J168" s="97">
        <v>0.16</v>
      </c>
      <c r="K168" s="97">
        <v>12.7</v>
      </c>
      <c r="L168" s="97">
        <v>8.99</v>
      </c>
      <c r="M168" s="97">
        <v>1.38</v>
      </c>
      <c r="N168" s="97">
        <v>0.09</v>
      </c>
      <c r="O168" s="97">
        <v>0.05</v>
      </c>
      <c r="P168" s="97">
        <v>2.12</v>
      </c>
      <c r="Q168" s="97">
        <f t="shared" si="15"/>
        <v>99.21</v>
      </c>
      <c r="R168" s="97">
        <f t="shared" si="16"/>
        <v>70.751521468703046</v>
      </c>
      <c r="S168" s="97">
        <f t="shared" si="17"/>
        <v>2876.8749217478403</v>
      </c>
      <c r="T168" s="97"/>
      <c r="U168" s="97"/>
      <c r="V168" s="97"/>
      <c r="W168" s="97">
        <v>245</v>
      </c>
      <c r="X168" s="97">
        <v>980</v>
      </c>
      <c r="Y168" s="97">
        <v>48</v>
      </c>
      <c r="Z168" s="97">
        <v>262</v>
      </c>
      <c r="AA168" s="97"/>
      <c r="AB168" s="97"/>
      <c r="AC168" s="97"/>
      <c r="AD168" s="97">
        <v>5.2</v>
      </c>
      <c r="AE168" s="97">
        <v>37.299999999999997</v>
      </c>
      <c r="AF168" s="97">
        <v>13.2</v>
      </c>
      <c r="AG168" s="97">
        <v>34</v>
      </c>
      <c r="AH168" s="97">
        <v>0.9</v>
      </c>
      <c r="AI168" s="97"/>
      <c r="AJ168" s="97">
        <v>0.36</v>
      </c>
      <c r="AK168" s="97">
        <v>104.5</v>
      </c>
      <c r="AL168" s="97">
        <v>2.2999999999999998</v>
      </c>
      <c r="AM168" s="97">
        <v>4.7</v>
      </c>
      <c r="AN168" s="97">
        <v>0.59</v>
      </c>
      <c r="AO168" s="97">
        <v>3.1</v>
      </c>
      <c r="AP168" s="97"/>
      <c r="AQ168" s="97">
        <v>0.35</v>
      </c>
      <c r="AR168" s="97">
        <v>1.58</v>
      </c>
      <c r="AS168" s="97">
        <v>0.3</v>
      </c>
      <c r="AT168" s="97">
        <v>2.09</v>
      </c>
      <c r="AU168" s="97">
        <v>0.47</v>
      </c>
      <c r="AV168" s="97">
        <v>1.61</v>
      </c>
      <c r="AW168" s="97">
        <v>0.21</v>
      </c>
      <c r="AX168" s="97">
        <v>1.32</v>
      </c>
      <c r="AY168" s="97">
        <v>0.23</v>
      </c>
      <c r="AZ168" s="97">
        <v>1.1000000000000001</v>
      </c>
      <c r="BA168" s="97"/>
      <c r="BB168" s="97"/>
      <c r="BC168" s="97"/>
      <c r="BD168" s="97">
        <v>0.55000000000000004</v>
      </c>
      <c r="BE168" s="97"/>
      <c r="BF168" s="97">
        <v>3.84</v>
      </c>
      <c r="BG168" s="97">
        <v>18.850000000000001</v>
      </c>
      <c r="BH168" s="97">
        <v>0.37703518507226103</v>
      </c>
      <c r="BI168" s="97">
        <f t="shared" si="18"/>
        <v>58.487000000000002</v>
      </c>
      <c r="BJ168" s="97">
        <v>24.875</v>
      </c>
      <c r="BK168" s="97">
        <f t="shared" si="14"/>
        <v>1.2498401738908067</v>
      </c>
      <c r="BL168" s="97">
        <v>0.99019390990193901</v>
      </c>
      <c r="BM168" s="101">
        <v>1267.14295769983</v>
      </c>
      <c r="BN168" s="97">
        <v>0.84941730015647499</v>
      </c>
      <c r="BO168" s="7">
        <v>1.12999999999988</v>
      </c>
      <c r="BP168" s="7">
        <f>(BN168-1)*0.4+BO168</f>
        <v>1.06976692006247</v>
      </c>
      <c r="BQ168" s="7"/>
      <c r="BR168" s="7"/>
      <c r="BS168" s="4" t="s">
        <v>295</v>
      </c>
      <c r="BT168" s="102" t="s">
        <v>332</v>
      </c>
    </row>
    <row r="169" spans="1:72">
      <c r="BK169" s="2"/>
    </row>
    <row r="170" spans="1:72" ht="17">
      <c r="A170" s="28" t="s">
        <v>408</v>
      </c>
      <c r="U170" s="2"/>
      <c r="V170" s="2"/>
      <c r="W170" s="2"/>
      <c r="X170" s="2"/>
      <c r="Y170" s="2"/>
      <c r="BK170" s="2"/>
      <c r="BT170" s="54"/>
    </row>
    <row r="171" spans="1:72" s="2" customFormat="1">
      <c r="A171" s="53"/>
      <c r="B171" s="53"/>
      <c r="H171" s="53"/>
      <c r="I171" s="53"/>
      <c r="J171" s="53"/>
      <c r="N171" s="53"/>
      <c r="O171" s="53"/>
      <c r="P171" s="53"/>
      <c r="Q171" s="54"/>
      <c r="R171" s="54"/>
    </row>
    <row r="172" spans="1:72">
      <c r="A172" s="53" t="s">
        <v>77</v>
      </c>
      <c r="U172" s="2"/>
      <c r="V172" s="2"/>
      <c r="W172" s="2"/>
      <c r="X172" s="2"/>
      <c r="Y172" s="2"/>
      <c r="BK172" s="2"/>
      <c r="BT172" s="54"/>
    </row>
    <row r="173" spans="1:72">
      <c r="A173" s="28" t="s">
        <v>184</v>
      </c>
      <c r="U173" s="2"/>
      <c r="V173" s="2"/>
      <c r="W173" s="2"/>
      <c r="X173" s="2"/>
      <c r="Y173" s="2"/>
      <c r="BK173" s="2"/>
      <c r="BT173" s="54"/>
    </row>
    <row r="174" spans="1:72">
      <c r="A174" s="28" t="s">
        <v>185</v>
      </c>
      <c r="U174" s="2"/>
      <c r="V174" s="2"/>
      <c r="W174" s="2"/>
      <c r="X174" s="2"/>
      <c r="Y174" s="2"/>
      <c r="BK174" s="2"/>
      <c r="BT174" s="54"/>
    </row>
    <row r="175" spans="1:72">
      <c r="A175" s="28" t="s">
        <v>186</v>
      </c>
      <c r="BT175" s="54"/>
    </row>
    <row r="176" spans="1:72">
      <c r="A176" s="28" t="s">
        <v>357</v>
      </c>
      <c r="U176" s="2"/>
      <c r="V176" s="2"/>
      <c r="W176" s="2"/>
      <c r="X176" s="2"/>
      <c r="Y176" s="2"/>
      <c r="BK176" s="2"/>
      <c r="BT176" s="54"/>
    </row>
    <row r="177" spans="1:72">
      <c r="A177" s="28" t="s">
        <v>418</v>
      </c>
      <c r="U177" s="2"/>
      <c r="V177" s="2"/>
      <c r="W177" s="2"/>
      <c r="X177" s="2"/>
      <c r="Y177" s="2"/>
      <c r="BK177" s="2"/>
      <c r="BT177" s="54"/>
    </row>
    <row r="178" spans="1:72">
      <c r="A178" s="28" t="s">
        <v>419</v>
      </c>
      <c r="U178" s="2"/>
      <c r="V178" s="2"/>
      <c r="W178" s="2"/>
      <c r="X178" s="2"/>
      <c r="Y178" s="2"/>
      <c r="BK178" s="2"/>
      <c r="BT178" s="54"/>
    </row>
  </sheetData>
  <autoFilter ref="A2:BT168" xr:uid="{E8A558B6-E286-484D-AFDD-0B50FD5A1ADF}"/>
  <phoneticPr fontId="16" type="noConversion"/>
  <pageMargins left="0.7" right="0.7" top="0.75" bottom="0.75" header="0.3" footer="0.3"/>
  <pageSetup paperSize="9" orientation="portrait" horizontalDpi="0" verticalDpi="0"/>
  <ignoredErrors>
    <ignoredError sqref="BG45:BG46 BF45:BF4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Table S1</vt:lpstr>
      <vt:lpstr>Table S2</vt:lpstr>
      <vt:lpstr>Table S3</vt:lpstr>
      <vt:lpstr>Table S4</vt:lpstr>
      <vt:lpstr>Table S5</vt:lpstr>
      <vt:lpstr>Table S6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Shae leung</dc:creator>
  <cp:lastModifiedBy>Shae Leung</cp:lastModifiedBy>
  <dcterms:created xsi:type="dcterms:W3CDTF">2024-08-18T23:31:00Z</dcterms:created>
  <dcterms:modified xsi:type="dcterms:W3CDTF">2025-10-17T05:05:25Z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1A74E17C629149E2BB4CC96FFB4AB1B7_13</vt:lpwstr>
  </property>
  <property fmtid="{D5CDD505-2E9C-101B-9397-08002B2CF9AE}" pid="3" name="KSOProductBuildVer">
    <vt:lpwstr>2052-12.1.0.18912</vt:lpwstr>
  </property>
</Properties>
</file>